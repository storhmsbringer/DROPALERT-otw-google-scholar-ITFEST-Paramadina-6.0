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334C75D-2B1B-48C1-9949-EAD18598D236}" xr6:coauthVersionLast="47" xr6:coauthVersionMax="47" xr10:uidLastSave="{00000000-0000-0000-0000-000000000000}"/>
  <bookViews>
    <workbookView xWindow="-180" yWindow="0" windowWidth="15045" windowHeight="17385" xr2:uid="{85D14D78-196C-4AE1-A8DB-E9001F8DD178}"/>
  </bookViews>
  <sheets>
    <sheet name="data_gabunga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7" l="1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P196" i="7"/>
  <c r="O196" i="7"/>
  <c r="N196" i="7"/>
  <c r="P195" i="7"/>
  <c r="O195" i="7"/>
  <c r="N195" i="7"/>
  <c r="P194" i="7"/>
  <c r="O194" i="7"/>
  <c r="N194" i="7"/>
  <c r="P193" i="7"/>
  <c r="O193" i="7"/>
  <c r="N193" i="7"/>
  <c r="P192" i="7"/>
  <c r="O192" i="7"/>
  <c r="N192" i="7"/>
  <c r="P191" i="7"/>
  <c r="O191" i="7"/>
  <c r="N191" i="7"/>
  <c r="P190" i="7"/>
  <c r="O190" i="7"/>
  <c r="N190" i="7"/>
  <c r="P189" i="7"/>
  <c r="O189" i="7"/>
  <c r="N189" i="7"/>
  <c r="P188" i="7"/>
  <c r="O188" i="7"/>
  <c r="N188" i="7"/>
  <c r="P187" i="7"/>
  <c r="O187" i="7"/>
  <c r="N187" i="7"/>
  <c r="P186" i="7"/>
  <c r="O186" i="7"/>
  <c r="N186" i="7"/>
  <c r="P185" i="7"/>
  <c r="O185" i="7"/>
  <c r="N185" i="7"/>
  <c r="P184" i="7"/>
  <c r="O184" i="7"/>
  <c r="N184" i="7"/>
  <c r="P183" i="7"/>
  <c r="O183" i="7"/>
  <c r="N183" i="7"/>
  <c r="P182" i="7"/>
  <c r="O182" i="7"/>
  <c r="N182" i="7"/>
  <c r="P181" i="7"/>
  <c r="O181" i="7"/>
  <c r="N181" i="7"/>
  <c r="P180" i="7"/>
  <c r="O180" i="7"/>
  <c r="N180" i="7"/>
  <c r="P179" i="7"/>
  <c r="O179" i="7"/>
  <c r="N179" i="7"/>
  <c r="P178" i="7"/>
  <c r="O178" i="7"/>
  <c r="N178" i="7"/>
  <c r="P177" i="7"/>
  <c r="O177" i="7"/>
  <c r="N177" i="7"/>
  <c r="P176" i="7"/>
  <c r="O176" i="7"/>
  <c r="N176" i="7"/>
  <c r="P175" i="7"/>
  <c r="O175" i="7"/>
  <c r="N175" i="7"/>
  <c r="P174" i="7"/>
  <c r="O174" i="7"/>
  <c r="N174" i="7"/>
  <c r="P173" i="7"/>
  <c r="O173" i="7"/>
  <c r="N173" i="7"/>
  <c r="P172" i="7"/>
  <c r="O172" i="7"/>
  <c r="N172" i="7"/>
  <c r="P171" i="7"/>
  <c r="O171" i="7"/>
  <c r="N171" i="7"/>
  <c r="P170" i="7"/>
  <c r="O170" i="7"/>
  <c r="N170" i="7"/>
  <c r="P169" i="7"/>
  <c r="O169" i="7"/>
  <c r="N169" i="7"/>
  <c r="P168" i="7"/>
  <c r="O168" i="7"/>
  <c r="N168" i="7"/>
  <c r="P167" i="7"/>
  <c r="O167" i="7"/>
  <c r="N167" i="7"/>
  <c r="P166" i="7"/>
  <c r="O166" i="7"/>
  <c r="N166" i="7"/>
  <c r="P165" i="7"/>
  <c r="O165" i="7"/>
  <c r="N165" i="7"/>
  <c r="P164" i="7"/>
  <c r="O164" i="7"/>
  <c r="N164" i="7"/>
  <c r="P163" i="7"/>
  <c r="O163" i="7"/>
  <c r="N163" i="7"/>
  <c r="P162" i="7"/>
  <c r="O162" i="7"/>
  <c r="N162" i="7"/>
  <c r="P161" i="7"/>
  <c r="O161" i="7"/>
  <c r="N161" i="7"/>
  <c r="P160" i="7"/>
  <c r="O160" i="7"/>
  <c r="N160" i="7"/>
  <c r="P159" i="7"/>
  <c r="O159" i="7"/>
  <c r="N159" i="7"/>
  <c r="P158" i="7"/>
  <c r="O158" i="7"/>
  <c r="N158" i="7"/>
  <c r="P157" i="7"/>
  <c r="O157" i="7"/>
  <c r="N157" i="7"/>
  <c r="P156" i="7"/>
  <c r="O156" i="7"/>
  <c r="N156" i="7"/>
  <c r="P155" i="7"/>
  <c r="O155" i="7"/>
  <c r="N155" i="7"/>
  <c r="P154" i="7"/>
  <c r="O154" i="7"/>
  <c r="N154" i="7"/>
  <c r="P153" i="7"/>
  <c r="O153" i="7"/>
  <c r="N153" i="7"/>
  <c r="P152" i="7"/>
  <c r="O152" i="7"/>
  <c r="N152" i="7"/>
  <c r="P151" i="7"/>
  <c r="O151" i="7"/>
  <c r="N151" i="7"/>
  <c r="P150" i="7"/>
  <c r="O150" i="7"/>
  <c r="N150" i="7"/>
  <c r="P149" i="7"/>
  <c r="O149" i="7"/>
  <c r="N149" i="7"/>
  <c r="P148" i="7"/>
  <c r="O148" i="7"/>
  <c r="N148" i="7"/>
  <c r="P147" i="7"/>
  <c r="O147" i="7"/>
  <c r="N147" i="7"/>
  <c r="P146" i="7"/>
  <c r="O146" i="7"/>
  <c r="N146" i="7"/>
  <c r="P145" i="7"/>
  <c r="O145" i="7"/>
  <c r="N145" i="7"/>
  <c r="P144" i="7"/>
  <c r="O144" i="7"/>
  <c r="N144" i="7"/>
  <c r="P143" i="7"/>
  <c r="O143" i="7"/>
  <c r="N143" i="7"/>
  <c r="P142" i="7"/>
  <c r="O142" i="7"/>
  <c r="N142" i="7"/>
  <c r="P141" i="7"/>
  <c r="O141" i="7"/>
  <c r="N141" i="7"/>
  <c r="P140" i="7"/>
  <c r="O140" i="7"/>
  <c r="N140" i="7"/>
  <c r="P139" i="7"/>
  <c r="O139" i="7"/>
  <c r="N139" i="7"/>
  <c r="P138" i="7"/>
  <c r="O138" i="7"/>
  <c r="N138" i="7"/>
  <c r="P137" i="7"/>
  <c r="O137" i="7"/>
  <c r="N137" i="7"/>
  <c r="P136" i="7"/>
  <c r="O136" i="7"/>
  <c r="N136" i="7"/>
  <c r="P135" i="7"/>
  <c r="O135" i="7"/>
  <c r="N135" i="7"/>
  <c r="P134" i="7"/>
  <c r="O134" i="7"/>
  <c r="N134" i="7"/>
  <c r="P133" i="7"/>
  <c r="O133" i="7"/>
  <c r="N133" i="7"/>
  <c r="P132" i="7"/>
  <c r="O132" i="7"/>
  <c r="N132" i="7"/>
  <c r="P131" i="7"/>
  <c r="O131" i="7"/>
  <c r="N131" i="7"/>
  <c r="P130" i="7"/>
  <c r="O130" i="7"/>
  <c r="N130" i="7"/>
  <c r="P129" i="7"/>
  <c r="O129" i="7"/>
  <c r="N129" i="7"/>
  <c r="P128" i="7"/>
  <c r="O128" i="7"/>
  <c r="N128" i="7"/>
  <c r="P127" i="7"/>
  <c r="O127" i="7"/>
  <c r="N127" i="7"/>
  <c r="P126" i="7"/>
  <c r="O126" i="7"/>
  <c r="N126" i="7"/>
  <c r="P125" i="7"/>
  <c r="O125" i="7"/>
  <c r="N125" i="7"/>
  <c r="P124" i="7"/>
  <c r="O124" i="7"/>
  <c r="N124" i="7"/>
  <c r="P123" i="7"/>
  <c r="O123" i="7"/>
  <c r="N123" i="7"/>
  <c r="P122" i="7"/>
  <c r="O122" i="7"/>
  <c r="N122" i="7"/>
  <c r="P121" i="7"/>
  <c r="O121" i="7"/>
  <c r="N121" i="7"/>
  <c r="P120" i="7"/>
  <c r="O120" i="7"/>
  <c r="N120" i="7"/>
  <c r="P119" i="7"/>
  <c r="O119" i="7"/>
  <c r="N119" i="7"/>
  <c r="P118" i="7"/>
  <c r="O118" i="7"/>
  <c r="N118" i="7"/>
  <c r="P117" i="7"/>
  <c r="O117" i="7"/>
  <c r="N117" i="7"/>
  <c r="P116" i="7"/>
  <c r="O116" i="7"/>
  <c r="N116" i="7"/>
  <c r="P115" i="7"/>
  <c r="O115" i="7"/>
  <c r="N115" i="7"/>
  <c r="P114" i="7"/>
  <c r="O114" i="7"/>
  <c r="N114" i="7"/>
  <c r="P113" i="7"/>
  <c r="O113" i="7"/>
  <c r="N113" i="7"/>
  <c r="P112" i="7"/>
  <c r="O112" i="7"/>
  <c r="N112" i="7"/>
  <c r="P111" i="7"/>
  <c r="O111" i="7"/>
  <c r="N111" i="7"/>
  <c r="P110" i="7"/>
  <c r="O110" i="7"/>
  <c r="N110" i="7"/>
  <c r="P109" i="7"/>
  <c r="O109" i="7"/>
  <c r="N109" i="7"/>
  <c r="P108" i="7"/>
  <c r="O108" i="7"/>
  <c r="N108" i="7"/>
  <c r="P107" i="7"/>
  <c r="O107" i="7"/>
  <c r="N107" i="7"/>
  <c r="P106" i="7"/>
  <c r="O106" i="7"/>
  <c r="N106" i="7"/>
  <c r="P105" i="7"/>
  <c r="O105" i="7"/>
  <c r="N105" i="7"/>
  <c r="P104" i="7"/>
  <c r="O104" i="7"/>
  <c r="N104" i="7"/>
  <c r="P103" i="7"/>
  <c r="O103" i="7"/>
  <c r="N103" i="7"/>
  <c r="P102" i="7"/>
  <c r="O102" i="7"/>
  <c r="N102" i="7"/>
  <c r="P101" i="7"/>
  <c r="O101" i="7"/>
  <c r="N101" i="7"/>
  <c r="P100" i="7"/>
  <c r="O100" i="7"/>
  <c r="N100" i="7"/>
  <c r="P99" i="7"/>
  <c r="O99" i="7"/>
  <c r="N99" i="7"/>
  <c r="P98" i="7"/>
  <c r="O98" i="7"/>
  <c r="N98" i="7"/>
  <c r="P97" i="7"/>
  <c r="O97" i="7"/>
  <c r="N97" i="7"/>
  <c r="P96" i="7"/>
  <c r="O96" i="7"/>
  <c r="N96" i="7"/>
  <c r="P95" i="7"/>
  <c r="O95" i="7"/>
  <c r="N95" i="7"/>
  <c r="P94" i="7"/>
  <c r="O94" i="7"/>
  <c r="N94" i="7"/>
  <c r="P93" i="7"/>
  <c r="O93" i="7"/>
  <c r="N93" i="7"/>
  <c r="P92" i="7"/>
  <c r="O92" i="7"/>
  <c r="N92" i="7"/>
  <c r="P91" i="7"/>
  <c r="O91" i="7"/>
  <c r="N91" i="7"/>
  <c r="P90" i="7"/>
  <c r="O90" i="7"/>
  <c r="N90" i="7"/>
  <c r="P89" i="7"/>
  <c r="O89" i="7"/>
  <c r="N89" i="7"/>
  <c r="P88" i="7"/>
  <c r="O88" i="7"/>
  <c r="N88" i="7"/>
  <c r="P87" i="7"/>
  <c r="O87" i="7"/>
  <c r="N87" i="7"/>
  <c r="P86" i="7"/>
  <c r="O86" i="7"/>
  <c r="N86" i="7"/>
  <c r="P85" i="7"/>
  <c r="O85" i="7"/>
  <c r="N85" i="7"/>
  <c r="P84" i="7"/>
  <c r="O84" i="7"/>
  <c r="N84" i="7"/>
  <c r="P83" i="7"/>
  <c r="O83" i="7"/>
  <c r="N83" i="7"/>
  <c r="P82" i="7"/>
  <c r="O82" i="7"/>
  <c r="N82" i="7"/>
  <c r="P81" i="7"/>
  <c r="O81" i="7"/>
  <c r="N81" i="7"/>
  <c r="P80" i="7"/>
  <c r="O80" i="7"/>
  <c r="N80" i="7"/>
  <c r="P79" i="7"/>
  <c r="O79" i="7"/>
  <c r="N79" i="7"/>
  <c r="P78" i="7"/>
  <c r="O78" i="7"/>
  <c r="N78" i="7"/>
  <c r="P77" i="7"/>
  <c r="O77" i="7"/>
  <c r="N77" i="7"/>
  <c r="P76" i="7"/>
  <c r="O76" i="7"/>
  <c r="N76" i="7"/>
  <c r="P75" i="7"/>
  <c r="O75" i="7"/>
  <c r="N75" i="7"/>
  <c r="P74" i="7"/>
  <c r="O74" i="7"/>
  <c r="N74" i="7"/>
  <c r="P73" i="7"/>
  <c r="O73" i="7"/>
  <c r="N73" i="7"/>
  <c r="P72" i="7"/>
  <c r="O72" i="7"/>
  <c r="N72" i="7"/>
  <c r="P71" i="7"/>
  <c r="O71" i="7"/>
  <c r="N71" i="7"/>
  <c r="P70" i="7"/>
  <c r="O70" i="7"/>
  <c r="N70" i="7"/>
  <c r="P69" i="7"/>
  <c r="O69" i="7"/>
  <c r="N69" i="7"/>
  <c r="P68" i="7"/>
  <c r="O68" i="7"/>
  <c r="N68" i="7"/>
  <c r="P67" i="7"/>
  <c r="O67" i="7"/>
  <c r="N67" i="7"/>
  <c r="P66" i="7"/>
  <c r="O66" i="7"/>
  <c r="N66" i="7"/>
  <c r="P65" i="7"/>
  <c r="O65" i="7"/>
  <c r="N65" i="7"/>
  <c r="P64" i="7"/>
  <c r="O64" i="7"/>
  <c r="N64" i="7"/>
  <c r="P63" i="7"/>
  <c r="O63" i="7"/>
  <c r="N63" i="7"/>
  <c r="P62" i="7"/>
  <c r="O62" i="7"/>
  <c r="N62" i="7"/>
  <c r="P61" i="7"/>
  <c r="O61" i="7"/>
  <c r="N61" i="7"/>
  <c r="P60" i="7"/>
  <c r="O60" i="7"/>
  <c r="N60" i="7"/>
  <c r="P59" i="7"/>
  <c r="O59" i="7"/>
  <c r="N59" i="7"/>
  <c r="P58" i="7"/>
  <c r="O58" i="7"/>
  <c r="N58" i="7"/>
  <c r="P57" i="7"/>
  <c r="O57" i="7"/>
  <c r="N57" i="7"/>
  <c r="P56" i="7"/>
  <c r="O56" i="7"/>
  <c r="N56" i="7"/>
  <c r="P55" i="7"/>
  <c r="O55" i="7"/>
  <c r="N55" i="7"/>
  <c r="P54" i="7"/>
  <c r="O54" i="7"/>
  <c r="N54" i="7"/>
  <c r="P53" i="7"/>
  <c r="O53" i="7"/>
  <c r="N53" i="7"/>
  <c r="P52" i="7"/>
  <c r="O52" i="7"/>
  <c r="N52" i="7"/>
  <c r="P51" i="7"/>
  <c r="O51" i="7"/>
  <c r="N51" i="7"/>
  <c r="P50" i="7"/>
  <c r="O50" i="7"/>
  <c r="N50" i="7"/>
  <c r="P49" i="7"/>
  <c r="O49" i="7"/>
  <c r="N49" i="7"/>
  <c r="P48" i="7"/>
  <c r="O48" i="7"/>
  <c r="N48" i="7"/>
  <c r="P47" i="7"/>
  <c r="O47" i="7"/>
  <c r="N47" i="7"/>
  <c r="P46" i="7"/>
  <c r="O46" i="7"/>
  <c r="N46" i="7"/>
  <c r="P45" i="7"/>
  <c r="O45" i="7"/>
  <c r="N45" i="7"/>
  <c r="P44" i="7"/>
  <c r="O44" i="7"/>
  <c r="N44" i="7"/>
  <c r="P43" i="7"/>
  <c r="O43" i="7"/>
  <c r="N43" i="7"/>
  <c r="P42" i="7"/>
  <c r="O42" i="7"/>
  <c r="N42" i="7"/>
  <c r="P41" i="7"/>
  <c r="O41" i="7"/>
  <c r="N41" i="7"/>
  <c r="P40" i="7"/>
  <c r="O40" i="7"/>
  <c r="N40" i="7"/>
  <c r="P39" i="7"/>
  <c r="O39" i="7"/>
  <c r="N39" i="7"/>
  <c r="P38" i="7"/>
  <c r="O38" i="7"/>
  <c r="N38" i="7"/>
  <c r="P37" i="7"/>
  <c r="O37" i="7"/>
  <c r="N37" i="7"/>
  <c r="P36" i="7"/>
  <c r="O36" i="7"/>
  <c r="N36" i="7"/>
  <c r="P35" i="7"/>
  <c r="O35" i="7"/>
  <c r="N35" i="7"/>
  <c r="P34" i="7"/>
  <c r="O34" i="7"/>
  <c r="N34" i="7"/>
  <c r="P33" i="7"/>
  <c r="O33" i="7"/>
  <c r="N33" i="7"/>
  <c r="P6" i="7"/>
  <c r="O6" i="7"/>
  <c r="N6" i="7"/>
  <c r="P5" i="7"/>
  <c r="O5" i="7"/>
  <c r="N5" i="7"/>
  <c r="P4" i="7"/>
  <c r="O4" i="7"/>
  <c r="N4" i="7"/>
  <c r="P3" i="7"/>
  <c r="O3" i="7"/>
  <c r="N3" i="7"/>
  <c r="Y196" i="7"/>
  <c r="X196" i="7"/>
  <c r="W196" i="7"/>
  <c r="Y195" i="7"/>
  <c r="X195" i="7"/>
  <c r="W195" i="7"/>
  <c r="Y194" i="7"/>
  <c r="X194" i="7"/>
  <c r="W194" i="7"/>
  <c r="Y193" i="7"/>
  <c r="X193" i="7"/>
  <c r="W193" i="7"/>
  <c r="Y192" i="7"/>
  <c r="X192" i="7"/>
  <c r="W192" i="7"/>
  <c r="Y191" i="7"/>
  <c r="X191" i="7"/>
  <c r="W191" i="7"/>
  <c r="Y190" i="7"/>
  <c r="X190" i="7"/>
  <c r="W190" i="7"/>
  <c r="Y189" i="7"/>
  <c r="X189" i="7"/>
  <c r="W189" i="7"/>
  <c r="Y188" i="7"/>
  <c r="X188" i="7"/>
  <c r="W188" i="7"/>
  <c r="Y187" i="7"/>
  <c r="X187" i="7"/>
  <c r="W187" i="7"/>
  <c r="Y186" i="7"/>
  <c r="X186" i="7"/>
  <c r="W186" i="7"/>
  <c r="Y185" i="7"/>
  <c r="X185" i="7"/>
  <c r="W185" i="7"/>
  <c r="Y184" i="7"/>
  <c r="X184" i="7"/>
  <c r="W184" i="7"/>
  <c r="Y183" i="7"/>
  <c r="X183" i="7"/>
  <c r="W183" i="7"/>
  <c r="Y182" i="7"/>
  <c r="X182" i="7"/>
  <c r="W182" i="7"/>
  <c r="Y181" i="7"/>
  <c r="X181" i="7"/>
  <c r="W181" i="7"/>
  <c r="Y180" i="7"/>
  <c r="X180" i="7"/>
  <c r="W180" i="7"/>
  <c r="Y179" i="7"/>
  <c r="X179" i="7"/>
  <c r="W179" i="7"/>
  <c r="Y178" i="7"/>
  <c r="X178" i="7"/>
  <c r="W178" i="7"/>
  <c r="Y177" i="7"/>
  <c r="X177" i="7"/>
  <c r="W177" i="7"/>
  <c r="Y176" i="7"/>
  <c r="X176" i="7"/>
  <c r="W176" i="7"/>
  <c r="Y175" i="7"/>
  <c r="X175" i="7"/>
  <c r="W175" i="7"/>
  <c r="Y174" i="7"/>
  <c r="X174" i="7"/>
  <c r="W174" i="7"/>
  <c r="Y173" i="7"/>
  <c r="X173" i="7"/>
  <c r="W173" i="7"/>
  <c r="Y172" i="7"/>
  <c r="X172" i="7"/>
  <c r="W172" i="7"/>
  <c r="Y171" i="7"/>
  <c r="X171" i="7"/>
  <c r="W171" i="7"/>
  <c r="Y170" i="7"/>
  <c r="X170" i="7"/>
  <c r="W170" i="7"/>
  <c r="Y169" i="7"/>
  <c r="X169" i="7"/>
  <c r="W169" i="7"/>
  <c r="Y168" i="7"/>
  <c r="X168" i="7"/>
  <c r="W168" i="7"/>
  <c r="Y167" i="7"/>
  <c r="X167" i="7"/>
  <c r="W167" i="7"/>
  <c r="Y166" i="7"/>
  <c r="X166" i="7"/>
  <c r="W166" i="7"/>
  <c r="Y165" i="7"/>
  <c r="X165" i="7"/>
  <c r="W165" i="7"/>
  <c r="Y164" i="7"/>
  <c r="X164" i="7"/>
  <c r="W164" i="7"/>
  <c r="Y163" i="7"/>
  <c r="X163" i="7"/>
  <c r="W163" i="7"/>
  <c r="Y162" i="7"/>
  <c r="X162" i="7"/>
  <c r="W162" i="7"/>
  <c r="Y161" i="7"/>
  <c r="X161" i="7"/>
  <c r="W161" i="7"/>
  <c r="Y160" i="7"/>
  <c r="X160" i="7"/>
  <c r="W160" i="7"/>
  <c r="Y159" i="7"/>
  <c r="X159" i="7"/>
  <c r="W159" i="7"/>
  <c r="Y158" i="7"/>
  <c r="X158" i="7"/>
  <c r="W158" i="7"/>
  <c r="Y157" i="7"/>
  <c r="X157" i="7"/>
  <c r="W157" i="7"/>
  <c r="Y156" i="7"/>
  <c r="X156" i="7"/>
  <c r="W156" i="7"/>
  <c r="Y155" i="7"/>
  <c r="X155" i="7"/>
  <c r="W155" i="7"/>
  <c r="Y154" i="7"/>
  <c r="X154" i="7"/>
  <c r="W154" i="7"/>
  <c r="Y153" i="7"/>
  <c r="X153" i="7"/>
  <c r="W153" i="7"/>
  <c r="Y152" i="7"/>
  <c r="X152" i="7"/>
  <c r="W152" i="7"/>
  <c r="Y151" i="7"/>
  <c r="X151" i="7"/>
  <c r="W151" i="7"/>
  <c r="Y150" i="7"/>
  <c r="X150" i="7"/>
  <c r="W150" i="7"/>
  <c r="Y149" i="7"/>
  <c r="X149" i="7"/>
  <c r="W149" i="7"/>
  <c r="Y148" i="7"/>
  <c r="X148" i="7"/>
  <c r="W148" i="7"/>
  <c r="Y147" i="7"/>
  <c r="X147" i="7"/>
  <c r="W147" i="7"/>
  <c r="Y146" i="7"/>
  <c r="X146" i="7"/>
  <c r="W146" i="7"/>
  <c r="Y145" i="7"/>
  <c r="X145" i="7"/>
  <c r="W145" i="7"/>
  <c r="Y144" i="7"/>
  <c r="X144" i="7"/>
  <c r="W144" i="7"/>
  <c r="Y143" i="7"/>
  <c r="X143" i="7"/>
  <c r="W143" i="7"/>
  <c r="Y142" i="7"/>
  <c r="X142" i="7"/>
  <c r="W142" i="7"/>
  <c r="Y141" i="7"/>
  <c r="X141" i="7"/>
  <c r="W141" i="7"/>
  <c r="Y140" i="7"/>
  <c r="X140" i="7"/>
  <c r="W140" i="7"/>
  <c r="Y139" i="7"/>
  <c r="X139" i="7"/>
  <c r="W139" i="7"/>
  <c r="Y138" i="7"/>
  <c r="X138" i="7"/>
  <c r="W138" i="7"/>
  <c r="Y137" i="7"/>
  <c r="X137" i="7"/>
  <c r="W137" i="7"/>
  <c r="Y136" i="7"/>
  <c r="X136" i="7"/>
  <c r="W136" i="7"/>
  <c r="Y135" i="7"/>
  <c r="X135" i="7"/>
  <c r="W135" i="7"/>
  <c r="Y134" i="7"/>
  <c r="X134" i="7"/>
  <c r="W134" i="7"/>
  <c r="Y133" i="7"/>
  <c r="X133" i="7"/>
  <c r="W133" i="7"/>
  <c r="Y132" i="7"/>
  <c r="X132" i="7"/>
  <c r="W132" i="7"/>
  <c r="Y131" i="7"/>
  <c r="X131" i="7"/>
  <c r="W131" i="7"/>
  <c r="Y130" i="7"/>
  <c r="X130" i="7"/>
  <c r="W130" i="7"/>
  <c r="Y129" i="7"/>
  <c r="X129" i="7"/>
  <c r="W129" i="7"/>
  <c r="Y128" i="7"/>
  <c r="X128" i="7"/>
  <c r="W128" i="7"/>
  <c r="Y127" i="7"/>
  <c r="X127" i="7"/>
  <c r="W127" i="7"/>
  <c r="Y126" i="7"/>
  <c r="X126" i="7"/>
  <c r="W126" i="7"/>
  <c r="Y125" i="7"/>
  <c r="X125" i="7"/>
  <c r="W125" i="7"/>
  <c r="Y124" i="7"/>
  <c r="X124" i="7"/>
  <c r="W124" i="7"/>
  <c r="Y123" i="7"/>
  <c r="X123" i="7"/>
  <c r="W123" i="7"/>
  <c r="Y122" i="7"/>
  <c r="X122" i="7"/>
  <c r="W122" i="7"/>
  <c r="Y121" i="7"/>
  <c r="X121" i="7"/>
  <c r="W121" i="7"/>
  <c r="Y120" i="7"/>
  <c r="X120" i="7"/>
  <c r="W120" i="7"/>
  <c r="Y119" i="7"/>
  <c r="X119" i="7"/>
  <c r="W119" i="7"/>
  <c r="Y118" i="7"/>
  <c r="X118" i="7"/>
  <c r="W118" i="7"/>
  <c r="Y117" i="7"/>
  <c r="X117" i="7"/>
  <c r="W117" i="7"/>
  <c r="Y116" i="7"/>
  <c r="X116" i="7"/>
  <c r="W116" i="7"/>
  <c r="Y115" i="7"/>
  <c r="X115" i="7"/>
  <c r="W115" i="7"/>
  <c r="Y114" i="7"/>
  <c r="X114" i="7"/>
  <c r="W114" i="7"/>
  <c r="Y113" i="7"/>
  <c r="X113" i="7"/>
  <c r="W113" i="7"/>
  <c r="Y112" i="7"/>
  <c r="X112" i="7"/>
  <c r="W112" i="7"/>
  <c r="Y111" i="7"/>
  <c r="X111" i="7"/>
  <c r="W111" i="7"/>
  <c r="Y110" i="7"/>
  <c r="X110" i="7"/>
  <c r="W110" i="7"/>
  <c r="Y109" i="7"/>
  <c r="X109" i="7"/>
  <c r="W109" i="7"/>
  <c r="Y108" i="7"/>
  <c r="X108" i="7"/>
  <c r="W108" i="7"/>
  <c r="Y107" i="7"/>
  <c r="X107" i="7"/>
  <c r="W107" i="7"/>
  <c r="Y106" i="7"/>
  <c r="X106" i="7"/>
  <c r="W106" i="7"/>
  <c r="Y105" i="7"/>
  <c r="X105" i="7"/>
  <c r="W105" i="7"/>
  <c r="Y104" i="7"/>
  <c r="X104" i="7"/>
  <c r="W104" i="7"/>
  <c r="Y103" i="7"/>
  <c r="X103" i="7"/>
  <c r="W103" i="7"/>
  <c r="Y102" i="7"/>
  <c r="X102" i="7"/>
  <c r="W102" i="7"/>
  <c r="Y101" i="7"/>
  <c r="X101" i="7"/>
  <c r="W101" i="7"/>
  <c r="Y100" i="7"/>
  <c r="X100" i="7"/>
  <c r="W100" i="7"/>
  <c r="Y99" i="7"/>
  <c r="X99" i="7"/>
  <c r="W99" i="7"/>
  <c r="Y98" i="7"/>
  <c r="X98" i="7"/>
  <c r="W98" i="7"/>
  <c r="Y97" i="7"/>
  <c r="X97" i="7"/>
  <c r="W97" i="7"/>
  <c r="Y96" i="7"/>
  <c r="X96" i="7"/>
  <c r="W96" i="7"/>
  <c r="Y95" i="7"/>
  <c r="X95" i="7"/>
  <c r="W95" i="7"/>
  <c r="Y94" i="7"/>
  <c r="X94" i="7"/>
  <c r="W94" i="7"/>
  <c r="Y93" i="7"/>
  <c r="X93" i="7"/>
  <c r="W93" i="7"/>
  <c r="Y92" i="7"/>
  <c r="X92" i="7"/>
  <c r="W92" i="7"/>
  <c r="Y91" i="7"/>
  <c r="X91" i="7"/>
  <c r="W91" i="7"/>
  <c r="Y90" i="7"/>
  <c r="X90" i="7"/>
  <c r="W90" i="7"/>
  <c r="Y89" i="7"/>
  <c r="X89" i="7"/>
  <c r="W89" i="7"/>
  <c r="Y88" i="7"/>
  <c r="X88" i="7"/>
  <c r="W88" i="7"/>
  <c r="Y87" i="7"/>
  <c r="X87" i="7"/>
  <c r="W87" i="7"/>
  <c r="Y86" i="7"/>
  <c r="X86" i="7"/>
  <c r="W86" i="7"/>
  <c r="Y85" i="7"/>
  <c r="X85" i="7"/>
  <c r="W85" i="7"/>
  <c r="Y84" i="7"/>
  <c r="X84" i="7"/>
  <c r="W84" i="7"/>
  <c r="Y83" i="7"/>
  <c r="X83" i="7"/>
  <c r="W83" i="7"/>
  <c r="Y82" i="7"/>
  <c r="X82" i="7"/>
  <c r="W82" i="7"/>
  <c r="Y81" i="7"/>
  <c r="X81" i="7"/>
  <c r="W81" i="7"/>
  <c r="Y80" i="7"/>
  <c r="X80" i="7"/>
  <c r="W80" i="7"/>
  <c r="Y79" i="7"/>
  <c r="X79" i="7"/>
  <c r="W79" i="7"/>
  <c r="Y78" i="7"/>
  <c r="X78" i="7"/>
  <c r="W78" i="7"/>
  <c r="Y77" i="7"/>
  <c r="X77" i="7"/>
  <c r="W77" i="7"/>
  <c r="Y76" i="7"/>
  <c r="X76" i="7"/>
  <c r="W76" i="7"/>
  <c r="Y75" i="7"/>
  <c r="X75" i="7"/>
  <c r="W75" i="7"/>
  <c r="Y74" i="7"/>
  <c r="X74" i="7"/>
  <c r="W74" i="7"/>
  <c r="Y73" i="7"/>
  <c r="X73" i="7"/>
  <c r="W73" i="7"/>
  <c r="Y72" i="7"/>
  <c r="X72" i="7"/>
  <c r="W72" i="7"/>
  <c r="Y71" i="7"/>
  <c r="X71" i="7"/>
  <c r="W71" i="7"/>
  <c r="Y70" i="7"/>
  <c r="X70" i="7"/>
  <c r="W70" i="7"/>
  <c r="Y69" i="7"/>
  <c r="X69" i="7"/>
  <c r="W69" i="7"/>
  <c r="Y68" i="7"/>
  <c r="X68" i="7"/>
  <c r="W68" i="7"/>
  <c r="Y67" i="7"/>
  <c r="X67" i="7"/>
  <c r="W67" i="7"/>
  <c r="Y66" i="7"/>
  <c r="X66" i="7"/>
  <c r="W66" i="7"/>
  <c r="Y65" i="7"/>
  <c r="X65" i="7"/>
  <c r="W65" i="7"/>
  <c r="Y64" i="7"/>
  <c r="X64" i="7"/>
  <c r="W64" i="7"/>
  <c r="Y63" i="7"/>
  <c r="X63" i="7"/>
  <c r="W63" i="7"/>
  <c r="Y62" i="7"/>
  <c r="X62" i="7"/>
  <c r="W62" i="7"/>
  <c r="Y61" i="7"/>
  <c r="X61" i="7"/>
  <c r="W61" i="7"/>
  <c r="Y60" i="7"/>
  <c r="X60" i="7"/>
  <c r="W60" i="7"/>
  <c r="Y59" i="7"/>
  <c r="X59" i="7"/>
  <c r="W59" i="7"/>
  <c r="Y58" i="7"/>
  <c r="X58" i="7"/>
  <c r="W58" i="7"/>
  <c r="Y57" i="7"/>
  <c r="X57" i="7"/>
  <c r="W57" i="7"/>
  <c r="Y56" i="7"/>
  <c r="X56" i="7"/>
  <c r="W56" i="7"/>
  <c r="Y55" i="7"/>
  <c r="X55" i="7"/>
  <c r="W55" i="7"/>
  <c r="Y54" i="7"/>
  <c r="X54" i="7"/>
  <c r="W54" i="7"/>
  <c r="Y53" i="7"/>
  <c r="X53" i="7"/>
  <c r="W53" i="7"/>
  <c r="Y52" i="7"/>
  <c r="X52" i="7"/>
  <c r="W52" i="7"/>
  <c r="Y51" i="7"/>
  <c r="X51" i="7"/>
  <c r="W51" i="7"/>
  <c r="Y50" i="7"/>
  <c r="X50" i="7"/>
  <c r="W50" i="7"/>
  <c r="Y49" i="7"/>
  <c r="X49" i="7"/>
  <c r="W49" i="7"/>
  <c r="Y48" i="7"/>
  <c r="X48" i="7"/>
  <c r="W48" i="7"/>
  <c r="Y47" i="7"/>
  <c r="X47" i="7"/>
  <c r="W47" i="7"/>
  <c r="Y46" i="7"/>
  <c r="X46" i="7"/>
  <c r="W46" i="7"/>
  <c r="Y45" i="7"/>
  <c r="X45" i="7"/>
  <c r="W45" i="7"/>
  <c r="Y44" i="7"/>
  <c r="X44" i="7"/>
  <c r="W44" i="7"/>
  <c r="Y43" i="7"/>
  <c r="X43" i="7"/>
  <c r="W43" i="7"/>
  <c r="Y42" i="7"/>
  <c r="X42" i="7"/>
  <c r="W42" i="7"/>
  <c r="Y41" i="7"/>
  <c r="X41" i="7"/>
  <c r="W41" i="7"/>
  <c r="Y40" i="7"/>
  <c r="X40" i="7"/>
  <c r="W40" i="7"/>
  <c r="Y39" i="7"/>
  <c r="X39" i="7"/>
  <c r="W39" i="7"/>
  <c r="Y38" i="7"/>
  <c r="X38" i="7"/>
  <c r="W38" i="7"/>
  <c r="Y37" i="7"/>
  <c r="X37" i="7"/>
  <c r="W37" i="7"/>
  <c r="Y36" i="7"/>
  <c r="X36" i="7"/>
  <c r="W36" i="7"/>
  <c r="Y35" i="7"/>
  <c r="X35" i="7"/>
  <c r="W35" i="7"/>
  <c r="Y34" i="7"/>
  <c r="X34" i="7"/>
  <c r="W34" i="7"/>
  <c r="Y33" i="7"/>
  <c r="X33" i="7"/>
  <c r="W33" i="7"/>
  <c r="Y32" i="7"/>
  <c r="X32" i="7"/>
  <c r="W32" i="7"/>
  <c r="Y31" i="7"/>
  <c r="X31" i="7"/>
  <c r="W31" i="7"/>
  <c r="Y30" i="7"/>
  <c r="X30" i="7"/>
  <c r="W30" i="7"/>
  <c r="Y29" i="7"/>
  <c r="X29" i="7"/>
  <c r="W29" i="7"/>
  <c r="Y28" i="7"/>
  <c r="X28" i="7"/>
  <c r="W28" i="7"/>
  <c r="Y27" i="7"/>
  <c r="X27" i="7"/>
  <c r="W27" i="7"/>
  <c r="Y26" i="7"/>
  <c r="X26" i="7"/>
  <c r="W26" i="7"/>
  <c r="Y25" i="7"/>
  <c r="X25" i="7"/>
  <c r="W25" i="7"/>
  <c r="Y24" i="7"/>
  <c r="X24" i="7"/>
  <c r="W24" i="7"/>
  <c r="Y23" i="7"/>
  <c r="X23" i="7"/>
  <c r="W23" i="7"/>
  <c r="Y22" i="7"/>
  <c r="X22" i="7"/>
  <c r="W22" i="7"/>
  <c r="Y21" i="7"/>
  <c r="X21" i="7"/>
  <c r="W21" i="7"/>
  <c r="Y20" i="7"/>
  <c r="X20" i="7"/>
  <c r="W20" i="7"/>
  <c r="Y19" i="7"/>
  <c r="X19" i="7"/>
  <c r="W19" i="7"/>
  <c r="Y18" i="7"/>
  <c r="X18" i="7"/>
  <c r="W18" i="7"/>
  <c r="Y17" i="7"/>
  <c r="X17" i="7"/>
  <c r="W17" i="7"/>
  <c r="Y16" i="7"/>
  <c r="X16" i="7"/>
  <c r="W16" i="7"/>
  <c r="Y15" i="7"/>
  <c r="X15" i="7"/>
  <c r="W15" i="7"/>
  <c r="Y14" i="7"/>
  <c r="X14" i="7"/>
  <c r="W14" i="7"/>
  <c r="Y13" i="7"/>
  <c r="X13" i="7"/>
  <c r="W13" i="7"/>
  <c r="Y12" i="7"/>
  <c r="X12" i="7"/>
  <c r="W12" i="7"/>
  <c r="Y11" i="7"/>
  <c r="X11" i="7"/>
  <c r="W11" i="7"/>
  <c r="Y10" i="7"/>
  <c r="X10" i="7"/>
  <c r="W10" i="7"/>
  <c r="Y9" i="7"/>
  <c r="X9" i="7"/>
  <c r="W9" i="7"/>
  <c r="Y8" i="7"/>
  <c r="X8" i="7"/>
  <c r="W8" i="7"/>
  <c r="Y7" i="7"/>
  <c r="X7" i="7"/>
  <c r="W7" i="7"/>
  <c r="Y6" i="7"/>
  <c r="X6" i="7"/>
  <c r="W6" i="7"/>
  <c r="Y5" i="7"/>
  <c r="X5" i="7"/>
  <c r="W5" i="7"/>
  <c r="Y4" i="7"/>
  <c r="X4" i="7"/>
  <c r="W4" i="7"/>
  <c r="Y3" i="7"/>
  <c r="X3" i="7"/>
  <c r="W3" i="7"/>
  <c r="Y2" i="7"/>
  <c r="X2" i="7"/>
  <c r="W2" i="7"/>
  <c r="N2" i="7"/>
  <c r="P2" i="7"/>
  <c r="O2" i="7"/>
  <c r="AE196" i="7"/>
  <c r="AF196" i="7" s="1"/>
  <c r="AE195" i="7"/>
  <c r="AF195" i="7" s="1"/>
  <c r="AE194" i="7"/>
  <c r="AF194" i="7" s="1"/>
  <c r="AE193" i="7"/>
  <c r="AF193" i="7" s="1"/>
  <c r="AE192" i="7"/>
  <c r="AF192" i="7" s="1"/>
  <c r="AE191" i="7"/>
  <c r="AF191" i="7" s="1"/>
  <c r="AE190" i="7"/>
  <c r="AF190" i="7" s="1"/>
  <c r="AE189" i="7"/>
  <c r="AF189" i="7" s="1"/>
  <c r="AE188" i="7"/>
  <c r="AF188" i="7" s="1"/>
  <c r="AE187" i="7"/>
  <c r="AF187" i="7" s="1"/>
  <c r="AE186" i="7"/>
  <c r="AF186" i="7" s="1"/>
  <c r="AE185" i="7"/>
  <c r="AF185" i="7" s="1"/>
  <c r="AE184" i="7"/>
  <c r="AF184" i="7" s="1"/>
  <c r="AE183" i="7"/>
  <c r="AF183" i="7" s="1"/>
  <c r="AE182" i="7"/>
  <c r="AF182" i="7" s="1"/>
  <c r="AE181" i="7"/>
  <c r="AF181" i="7" s="1"/>
  <c r="AE180" i="7"/>
  <c r="AF180" i="7" s="1"/>
  <c r="AE179" i="7"/>
  <c r="AF179" i="7" s="1"/>
  <c r="AE178" i="7"/>
  <c r="AF178" i="7" s="1"/>
  <c r="AE177" i="7"/>
  <c r="AF177" i="7" s="1"/>
  <c r="AE176" i="7"/>
  <c r="AF176" i="7" s="1"/>
  <c r="AE175" i="7"/>
  <c r="AF175" i="7" s="1"/>
  <c r="AE174" i="7"/>
  <c r="AF174" i="7" s="1"/>
  <c r="AE173" i="7"/>
  <c r="AF173" i="7" s="1"/>
  <c r="AE172" i="7"/>
  <c r="AF172" i="7" s="1"/>
  <c r="AE171" i="7"/>
  <c r="AF171" i="7" s="1"/>
  <c r="AE170" i="7"/>
  <c r="AF170" i="7" s="1"/>
  <c r="AE169" i="7"/>
  <c r="AF169" i="7" s="1"/>
  <c r="AE168" i="7"/>
  <c r="AF168" i="7" s="1"/>
  <c r="AE167" i="7"/>
  <c r="AF167" i="7" s="1"/>
  <c r="AE166" i="7"/>
  <c r="AF166" i="7" s="1"/>
  <c r="AE165" i="7"/>
  <c r="AF165" i="7" s="1"/>
  <c r="AE164" i="7"/>
  <c r="AF164" i="7" s="1"/>
  <c r="AE163" i="7"/>
  <c r="AF163" i="7" s="1"/>
  <c r="AE162" i="7"/>
  <c r="AF162" i="7" s="1"/>
  <c r="AE161" i="7"/>
  <c r="AF161" i="7" s="1"/>
  <c r="AE160" i="7"/>
  <c r="AF160" i="7" s="1"/>
  <c r="AE159" i="7"/>
  <c r="AF159" i="7" s="1"/>
  <c r="AE158" i="7"/>
  <c r="AF158" i="7" s="1"/>
  <c r="AE157" i="7"/>
  <c r="AF157" i="7" s="1"/>
  <c r="AE156" i="7"/>
  <c r="AF156" i="7" s="1"/>
  <c r="AE155" i="7"/>
  <c r="AF155" i="7" s="1"/>
  <c r="AE154" i="7"/>
  <c r="AF154" i="7" s="1"/>
  <c r="AE153" i="7"/>
  <c r="AF153" i="7" s="1"/>
  <c r="AE152" i="7"/>
  <c r="AF152" i="7" s="1"/>
  <c r="AE151" i="7"/>
  <c r="AF151" i="7" s="1"/>
  <c r="AE150" i="7"/>
  <c r="AF150" i="7" s="1"/>
  <c r="AE149" i="7"/>
  <c r="AF149" i="7" s="1"/>
  <c r="AE148" i="7"/>
  <c r="AF148" i="7" s="1"/>
  <c r="AE147" i="7"/>
  <c r="AF147" i="7" s="1"/>
  <c r="AE146" i="7"/>
  <c r="AF146" i="7" s="1"/>
  <c r="AE145" i="7"/>
  <c r="AF145" i="7" s="1"/>
  <c r="AE144" i="7"/>
  <c r="AF144" i="7" s="1"/>
  <c r="AE143" i="7"/>
  <c r="AF143" i="7" s="1"/>
  <c r="AE142" i="7"/>
  <c r="AF142" i="7" s="1"/>
  <c r="AE141" i="7"/>
  <c r="AF141" i="7" s="1"/>
  <c r="AE140" i="7"/>
  <c r="AF140" i="7" s="1"/>
  <c r="AE139" i="7"/>
  <c r="AF139" i="7" s="1"/>
  <c r="AE138" i="7"/>
  <c r="AF138" i="7" s="1"/>
  <c r="AE137" i="7"/>
  <c r="AF137" i="7" s="1"/>
  <c r="AE136" i="7"/>
  <c r="AF136" i="7" s="1"/>
  <c r="AE135" i="7"/>
  <c r="AF135" i="7" s="1"/>
  <c r="AE134" i="7"/>
  <c r="AF134" i="7" s="1"/>
  <c r="AE133" i="7"/>
  <c r="AF133" i="7" s="1"/>
  <c r="AE132" i="7"/>
  <c r="AF132" i="7" s="1"/>
  <c r="AE131" i="7"/>
  <c r="AF131" i="7" s="1"/>
  <c r="AE130" i="7"/>
  <c r="AF130" i="7" s="1"/>
  <c r="AE129" i="7"/>
  <c r="AF129" i="7" s="1"/>
  <c r="AE128" i="7"/>
  <c r="AF128" i="7" s="1"/>
  <c r="AE127" i="7"/>
  <c r="AF127" i="7" s="1"/>
  <c r="AE126" i="7"/>
  <c r="AF126" i="7" s="1"/>
  <c r="AE125" i="7"/>
  <c r="AF125" i="7" s="1"/>
  <c r="AE124" i="7"/>
  <c r="AF124" i="7" s="1"/>
  <c r="AE123" i="7"/>
  <c r="AF123" i="7" s="1"/>
  <c r="AE122" i="7"/>
  <c r="AF122" i="7" s="1"/>
  <c r="AE121" i="7"/>
  <c r="AF121" i="7" s="1"/>
  <c r="AE120" i="7"/>
  <c r="AF120" i="7" s="1"/>
  <c r="AE119" i="7"/>
  <c r="AF119" i="7" s="1"/>
  <c r="AE118" i="7"/>
  <c r="AF118" i="7" s="1"/>
  <c r="AE117" i="7"/>
  <c r="AF117" i="7" s="1"/>
  <c r="AE116" i="7"/>
  <c r="AF116" i="7" s="1"/>
  <c r="AE115" i="7"/>
  <c r="AF115" i="7" s="1"/>
  <c r="AE114" i="7"/>
  <c r="AF114" i="7" s="1"/>
  <c r="AE113" i="7"/>
  <c r="AF113" i="7" s="1"/>
  <c r="AE112" i="7"/>
  <c r="AF112" i="7" s="1"/>
  <c r="AE111" i="7"/>
  <c r="AF111" i="7" s="1"/>
  <c r="AE110" i="7"/>
  <c r="AF110" i="7" s="1"/>
  <c r="AE109" i="7"/>
  <c r="AF109" i="7" s="1"/>
  <c r="AE108" i="7"/>
  <c r="AF108" i="7" s="1"/>
  <c r="AE107" i="7"/>
  <c r="AF107" i="7" s="1"/>
  <c r="AE106" i="7"/>
  <c r="AF106" i="7" s="1"/>
  <c r="AE105" i="7"/>
  <c r="AF105" i="7" s="1"/>
  <c r="AE104" i="7"/>
  <c r="AF104" i="7" s="1"/>
  <c r="AE103" i="7"/>
  <c r="AF103" i="7" s="1"/>
  <c r="AE102" i="7"/>
  <c r="AF102" i="7" s="1"/>
  <c r="AE101" i="7"/>
  <c r="AF101" i="7" s="1"/>
  <c r="AE100" i="7"/>
  <c r="AF100" i="7" s="1"/>
  <c r="AE99" i="7"/>
  <c r="AF99" i="7" s="1"/>
  <c r="AE98" i="7"/>
  <c r="AF98" i="7" s="1"/>
  <c r="AE97" i="7"/>
  <c r="AF97" i="7" s="1"/>
  <c r="AE96" i="7"/>
  <c r="AF96" i="7" s="1"/>
  <c r="AE95" i="7"/>
  <c r="AF95" i="7" s="1"/>
  <c r="AE94" i="7"/>
  <c r="AF94" i="7" s="1"/>
  <c r="AE93" i="7"/>
  <c r="AF93" i="7" s="1"/>
  <c r="AE92" i="7"/>
  <c r="AF92" i="7" s="1"/>
  <c r="AE91" i="7"/>
  <c r="AF91" i="7" s="1"/>
  <c r="AE90" i="7"/>
  <c r="AF90" i="7" s="1"/>
  <c r="AE89" i="7"/>
  <c r="AF89" i="7" s="1"/>
  <c r="AE88" i="7"/>
  <c r="AF88" i="7" s="1"/>
  <c r="AE87" i="7"/>
  <c r="AF87" i="7" s="1"/>
  <c r="AE86" i="7"/>
  <c r="AF86" i="7" s="1"/>
  <c r="AE85" i="7"/>
  <c r="AF85" i="7" s="1"/>
  <c r="AE84" i="7"/>
  <c r="AF84" i="7" s="1"/>
  <c r="AE83" i="7"/>
  <c r="AF83" i="7" s="1"/>
  <c r="AE82" i="7"/>
  <c r="AF82" i="7" s="1"/>
  <c r="AE81" i="7"/>
  <c r="AF81" i="7" s="1"/>
  <c r="AE80" i="7"/>
  <c r="AF80" i="7" s="1"/>
  <c r="AE79" i="7"/>
  <c r="AF79" i="7" s="1"/>
  <c r="AE78" i="7"/>
  <c r="AF78" i="7" s="1"/>
  <c r="AE77" i="7"/>
  <c r="AF77" i="7" s="1"/>
  <c r="AE76" i="7"/>
  <c r="AF76" i="7" s="1"/>
  <c r="AE75" i="7"/>
  <c r="AF75" i="7" s="1"/>
  <c r="AE74" i="7"/>
  <c r="AF74" i="7" s="1"/>
  <c r="AE73" i="7"/>
  <c r="AF73" i="7" s="1"/>
  <c r="AE72" i="7"/>
  <c r="AF72" i="7" s="1"/>
  <c r="AE71" i="7"/>
  <c r="AF71" i="7" s="1"/>
  <c r="AE70" i="7"/>
  <c r="AF70" i="7" s="1"/>
  <c r="AE69" i="7"/>
  <c r="AF69" i="7" s="1"/>
  <c r="AE68" i="7"/>
  <c r="AF68" i="7" s="1"/>
  <c r="AE67" i="7"/>
  <c r="AF67" i="7" s="1"/>
  <c r="AE66" i="7"/>
  <c r="AF66" i="7" s="1"/>
  <c r="AE65" i="7"/>
  <c r="AF65" i="7" s="1"/>
  <c r="AE64" i="7"/>
  <c r="AF64" i="7" s="1"/>
  <c r="AE63" i="7"/>
  <c r="AF63" i="7" s="1"/>
  <c r="AE62" i="7"/>
  <c r="AF62" i="7" s="1"/>
  <c r="AE61" i="7"/>
  <c r="AF61" i="7" s="1"/>
  <c r="AE60" i="7"/>
  <c r="AF60" i="7" s="1"/>
  <c r="AE59" i="7"/>
  <c r="AF59" i="7" s="1"/>
  <c r="AE58" i="7"/>
  <c r="AF58" i="7" s="1"/>
  <c r="AE57" i="7"/>
  <c r="AF57" i="7" s="1"/>
  <c r="AE56" i="7"/>
  <c r="AF56" i="7" s="1"/>
  <c r="AE55" i="7"/>
  <c r="AF55" i="7" s="1"/>
  <c r="AE54" i="7"/>
  <c r="AF54" i="7" s="1"/>
  <c r="AE53" i="7"/>
  <c r="AF53" i="7" s="1"/>
  <c r="AE52" i="7"/>
  <c r="AF52" i="7" s="1"/>
  <c r="AE51" i="7"/>
  <c r="AF51" i="7" s="1"/>
  <c r="AE50" i="7"/>
  <c r="AF50" i="7" s="1"/>
  <c r="AE49" i="7"/>
  <c r="AF49" i="7" s="1"/>
  <c r="AE48" i="7"/>
  <c r="AF48" i="7" s="1"/>
  <c r="AE47" i="7"/>
  <c r="AF47" i="7" s="1"/>
  <c r="AE46" i="7"/>
  <c r="AF46" i="7" s="1"/>
  <c r="AE45" i="7"/>
  <c r="AF45" i="7" s="1"/>
  <c r="AE44" i="7"/>
  <c r="AF44" i="7" s="1"/>
  <c r="AE43" i="7"/>
  <c r="AF43" i="7" s="1"/>
  <c r="AE42" i="7"/>
  <c r="AF42" i="7" s="1"/>
  <c r="AE41" i="7"/>
  <c r="AF41" i="7" s="1"/>
  <c r="AE40" i="7"/>
  <c r="AF40" i="7" s="1"/>
  <c r="AE39" i="7"/>
  <c r="AF39" i="7" s="1"/>
  <c r="AE38" i="7"/>
  <c r="AF38" i="7" s="1"/>
  <c r="AE37" i="7"/>
  <c r="AF37" i="7" s="1"/>
  <c r="AE36" i="7"/>
  <c r="AF36" i="7" s="1"/>
  <c r="AE35" i="7"/>
  <c r="AF35" i="7" s="1"/>
  <c r="AE34" i="7"/>
  <c r="AF34" i="7" s="1"/>
  <c r="AE33" i="7"/>
  <c r="AF33" i="7" s="1"/>
  <c r="AE32" i="7"/>
  <c r="AF32" i="7" s="1"/>
  <c r="AE31" i="7"/>
  <c r="AF31" i="7" s="1"/>
  <c r="AE30" i="7"/>
  <c r="AF30" i="7" s="1"/>
  <c r="AE29" i="7"/>
  <c r="AF29" i="7" s="1"/>
  <c r="AE28" i="7"/>
  <c r="AF28" i="7" s="1"/>
  <c r="AE27" i="7"/>
  <c r="AF27" i="7" s="1"/>
  <c r="AE26" i="7"/>
  <c r="AF26" i="7" s="1"/>
  <c r="AE25" i="7"/>
  <c r="AF25" i="7" s="1"/>
  <c r="AE24" i="7"/>
  <c r="AF24" i="7" s="1"/>
  <c r="AE23" i="7"/>
  <c r="AF23" i="7" s="1"/>
  <c r="AE22" i="7"/>
  <c r="AF22" i="7" s="1"/>
  <c r="AE21" i="7"/>
  <c r="AF21" i="7" s="1"/>
  <c r="AE20" i="7"/>
  <c r="AF20" i="7" s="1"/>
  <c r="AE19" i="7"/>
  <c r="AF19" i="7" s="1"/>
  <c r="AE18" i="7"/>
  <c r="AF18" i="7" s="1"/>
  <c r="AE17" i="7"/>
  <c r="AF17" i="7" s="1"/>
  <c r="AE16" i="7"/>
  <c r="AF16" i="7" s="1"/>
  <c r="AE15" i="7"/>
  <c r="AF15" i="7" s="1"/>
  <c r="AE14" i="7"/>
  <c r="AF14" i="7" s="1"/>
  <c r="AE13" i="7"/>
  <c r="AF13" i="7" s="1"/>
  <c r="AE12" i="7"/>
  <c r="AF12" i="7" s="1"/>
  <c r="AE11" i="7"/>
  <c r="AF11" i="7" s="1"/>
  <c r="AE10" i="7"/>
  <c r="AF10" i="7" s="1"/>
  <c r="AE9" i="7"/>
  <c r="AF9" i="7" s="1"/>
  <c r="AE8" i="7"/>
  <c r="AF8" i="7" s="1"/>
  <c r="AE7" i="7"/>
  <c r="AF7" i="7" s="1"/>
  <c r="AE6" i="7"/>
  <c r="AF6" i="7" s="1"/>
  <c r="AE5" i="7"/>
  <c r="AF5" i="7" s="1"/>
  <c r="AE4" i="7"/>
  <c r="AF4" i="7" s="1"/>
  <c r="AE3" i="7"/>
  <c r="AF3" i="7" s="1"/>
  <c r="AE2" i="7"/>
  <c r="AF2" i="7" s="1"/>
  <c r="AB196" i="7"/>
  <c r="AB195" i="7"/>
  <c r="AB194" i="7"/>
  <c r="AB193" i="7"/>
  <c r="AB192" i="7"/>
  <c r="AB191" i="7"/>
  <c r="AB190" i="7"/>
  <c r="AB189" i="7"/>
  <c r="AB188" i="7"/>
  <c r="AB187" i="7"/>
  <c r="AB186" i="7"/>
  <c r="AB185" i="7"/>
  <c r="AB184" i="7"/>
  <c r="AB183" i="7"/>
  <c r="AB182" i="7"/>
  <c r="AB181" i="7"/>
  <c r="AB180" i="7"/>
  <c r="AB179" i="7"/>
  <c r="AB178" i="7"/>
  <c r="AB177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3" i="7"/>
  <c r="AB162" i="7"/>
  <c r="AB161" i="7"/>
  <c r="AB160" i="7"/>
  <c r="AB159" i="7"/>
  <c r="AB158" i="7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5" i="7"/>
  <c r="AB4" i="7"/>
  <c r="AB3" i="7"/>
  <c r="AB2" i="7"/>
  <c r="E113" i="7"/>
  <c r="D113" i="7"/>
  <c r="C113" i="7"/>
  <c r="E112" i="7"/>
  <c r="D112" i="7"/>
  <c r="C112" i="7"/>
  <c r="E74" i="7"/>
  <c r="D74" i="7"/>
  <c r="C74" i="7"/>
  <c r="E73" i="7"/>
  <c r="D73" i="7"/>
  <c r="C73" i="7"/>
  <c r="E35" i="7"/>
  <c r="D35" i="7"/>
  <c r="C35" i="7"/>
  <c r="E34" i="7"/>
  <c r="D34" i="7"/>
  <c r="C34" i="7"/>
  <c r="E152" i="7"/>
  <c r="D152" i="7"/>
  <c r="C152" i="7"/>
  <c r="E151" i="7"/>
  <c r="D151" i="7"/>
  <c r="C151" i="7"/>
</calcChain>
</file>

<file path=xl/sharedStrings.xml><?xml version="1.0" encoding="utf-8"?>
<sst xmlns="http://schemas.openxmlformats.org/spreadsheetml/2006/main" count="249" uniqueCount="93">
  <si>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</si>
  <si>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</si>
  <si>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</si>
  <si>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</si>
  <si>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</si>
  <si>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</si>
  <si>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</si>
  <si>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</si>
  <si>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</si>
  <si>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</si>
  <si>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</si>
  <si>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</si>
  <si>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</si>
  <si>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</si>
  <si>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</si>
  <si>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</si>
  <si>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</si>
  <si>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</si>
  <si>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</si>
  <si>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</si>
  <si>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</si>
  <si>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</si>
  <si>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</si>
  <si>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</si>
  <si>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</si>
  <si>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</si>
  <si>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</si>
  <si>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</si>
  <si>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</si>
  <si>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</si>
  <si>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</si>
  <si>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</si>
  <si>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</si>
  <si>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</si>
  <si>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</si>
  <si>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</si>
  <si>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</si>
  <si>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</si>
  <si>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</si>
  <si>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</si>
  <si>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Tahun</t>
  </si>
  <si>
    <t>kota_pendudukmiskin</t>
  </si>
  <si>
    <t>desa_pendudukmiskin</t>
  </si>
  <si>
    <t>gabungan_pendudukmiskin</t>
  </si>
  <si>
    <t>laki_RLS</t>
  </si>
  <si>
    <t>perempuan_RLS</t>
  </si>
  <si>
    <t>gabungan_RLS</t>
  </si>
  <si>
    <t>NEET_usiamuda</t>
  </si>
  <si>
    <t>tenagakerjaformal</t>
  </si>
  <si>
    <t>SMA_swasta_jumlahsekolah</t>
  </si>
  <si>
    <t>SMA_negeri_jumlahsekolah</t>
  </si>
  <si>
    <t>SMA_negeri_jumlahguru</t>
  </si>
  <si>
    <t>SMA_swasta_jumlahguru</t>
  </si>
  <si>
    <t>SMA_negeri_jumlahmurid</t>
  </si>
  <si>
    <t>SMA_swasta_jumlahmurid</t>
  </si>
  <si>
    <t>SMK_negeri_jumlahsekolah</t>
  </si>
  <si>
    <t>SMK_swasta_jumlahsekolah</t>
  </si>
  <si>
    <t>SMK_negeri_jumlahguru</t>
  </si>
  <si>
    <t>SMK_swasta_jumlahguru</t>
  </si>
  <si>
    <t>SMK_negeri_jumlahmurid</t>
  </si>
  <si>
    <t>SMK_swasta_jumlahmurid</t>
  </si>
  <si>
    <t>laki_HLS</t>
  </si>
  <si>
    <t>perempuan_HLS</t>
  </si>
  <si>
    <t>gabungan_HLS</t>
  </si>
  <si>
    <t>TPT</t>
  </si>
  <si>
    <t>SMA_gabungan_jumlahsekolah</t>
  </si>
  <si>
    <t>SMA_gabungan_jumlahguru</t>
  </si>
  <si>
    <t>SMA_gabungan_jumlahmurid</t>
  </si>
  <si>
    <t>SMK_gabungan_jumlahmurid</t>
  </si>
  <si>
    <t>SMK_gabungan_jumlahguru</t>
  </si>
  <si>
    <t>SMK_gabungan_jumlahsekolah</t>
  </si>
  <si>
    <t>APS_13to15</t>
  </si>
  <si>
    <t>APS_16to18</t>
  </si>
  <si>
    <t>APS_19to23</t>
  </si>
  <si>
    <t>APS_07to12</t>
  </si>
  <si>
    <t>SD_negeri_jumlahsekolah</t>
  </si>
  <si>
    <t>SD_swasta_jumlahsekolah</t>
  </si>
  <si>
    <t>SD_negeri_jumlahguru</t>
  </si>
  <si>
    <t>SD_swasta_jumlahguru</t>
  </si>
  <si>
    <t>SD_negeri_jumlahmurid</t>
  </si>
  <si>
    <t>SD_swasta_jumlahmurid</t>
  </si>
  <si>
    <t>SD_gabungan_jumlahsekolah</t>
  </si>
  <si>
    <t>SD_gabungan_jumlahguru</t>
  </si>
  <si>
    <t>SD_gabungan_jumlahmurid</t>
  </si>
  <si>
    <t>SMP_negeri_jumlahsekolah</t>
  </si>
  <si>
    <t>SMP_swasta_jumlahsekolah</t>
  </si>
  <si>
    <t>SMP_gabungan_jumlahsekolah</t>
  </si>
  <si>
    <t>SMP_negeri_jumlahguru</t>
  </si>
  <si>
    <t>SMP_swasta_jumlahguru</t>
  </si>
  <si>
    <t>SMP_gabungan_jumlahguru</t>
  </si>
  <si>
    <t>SMP_negeri_jumlahmurid</t>
  </si>
  <si>
    <t>SMP_swasta_jumlahmurid</t>
  </si>
  <si>
    <t>SMP_gabungan_jumlahmurid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</si>
</sst>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ont="1"/>
    <xf numFmtId="16" fontId="0" fillId="0" borderId="0" xfId="0" applyNumberFormat="1" applyFont="1"/>
    <xf numFmtId="0" fontId="0" fillId="0" borderId="0" xfId="1" applyFont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38078B39-84F2-493F-8ACB-BF3A7F497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3AD4-298D-490B-90D2-E0CF852991DE}">
  <dimension ref="A1:BB196"/>
  <sheetViews>
    <sheetView tabSelected="1" topLeftCell="AM166" zoomScale="90" zoomScaleNormal="90" workbookViewId="0">
      <selection activeCell="AW69" sqref="AW69"/>
    </sheetView>
  </sheetViews>
  <sheetFormatPr defaultRowHeight="15" x14ac:dyDescent="0.25"/>
  <cols>
    <col min="1" max="1" width="18.140625" customWidth="1"/>
    <col min="7" max="7" width="10.28515625" customWidth="1"/>
  </cols>
  <sheetData>
    <row r="1" spans="1:54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47</v>
      </c>
      <c r="G1" s="1" t="s">
        <v>48</v>
      </c>
      <c r="H1" s="1" t="s">
        <v>50</v>
      </c>
      <c r="I1" s="1" t="s">
        <v>49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65</v>
      </c>
      <c r="O1" s="1" t="s">
        <v>66</v>
      </c>
      <c r="P1" s="1" t="s">
        <v>67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70</v>
      </c>
      <c r="X1" s="1" t="s">
        <v>69</v>
      </c>
      <c r="Y1" s="1" t="s">
        <v>68</v>
      </c>
      <c r="Z1" s="1" t="s">
        <v>44</v>
      </c>
      <c r="AA1" s="1" t="s">
        <v>45</v>
      </c>
      <c r="AB1" s="1" t="s">
        <v>46</v>
      </c>
      <c r="AC1" s="1" t="s">
        <v>61</v>
      </c>
      <c r="AD1" s="1" t="s">
        <v>62</v>
      </c>
      <c r="AE1" s="1" t="s">
        <v>63</v>
      </c>
      <c r="AF1" s="1" t="s">
        <v>64</v>
      </c>
      <c r="AG1" s="2" t="s">
        <v>74</v>
      </c>
      <c r="AH1" s="2" t="s">
        <v>71</v>
      </c>
      <c r="AI1" s="2" t="s">
        <v>72</v>
      </c>
      <c r="AJ1" s="2" t="s">
        <v>73</v>
      </c>
      <c r="AK1" s="1" t="s">
        <v>75</v>
      </c>
      <c r="AL1" s="1" t="s">
        <v>76</v>
      </c>
      <c r="AM1" s="1" t="s">
        <v>81</v>
      </c>
      <c r="AN1" s="1" t="s">
        <v>77</v>
      </c>
      <c r="AO1" s="1" t="s">
        <v>78</v>
      </c>
      <c r="AP1" s="1" t="s">
        <v>82</v>
      </c>
      <c r="AQ1" s="1" t="s">
        <v>79</v>
      </c>
      <c r="AR1" s="1" t="s">
        <v>80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</row>
    <row r="2" spans="1:54" x14ac:dyDescent="0.25">
      <c r="A2" s="1" t="s">
        <v>1</v>
      </c>
      <c r="B2" s="1">
        <v>2021</v>
      </c>
      <c r="C2" s="1">
        <v>10.52</v>
      </c>
      <c r="D2" s="1">
        <v>17.91</v>
      </c>
      <c r="E2" s="1">
        <v>15.43</v>
      </c>
      <c r="F2" s="1">
        <v>24.38</v>
      </c>
      <c r="G2" s="1">
        <v>39.31</v>
      </c>
      <c r="H2" s="1">
        <v>395</v>
      </c>
      <c r="I2" s="1">
        <v>134</v>
      </c>
      <c r="J2" s="1">
        <v>11995</v>
      </c>
      <c r="K2" s="1">
        <v>1652</v>
      </c>
      <c r="L2" s="1">
        <v>112307</v>
      </c>
      <c r="M2" s="1">
        <v>17922</v>
      </c>
      <c r="N2" s="1">
        <f t="shared" ref="N2:N33" si="0">H2+I2</f>
        <v>529</v>
      </c>
      <c r="O2" s="1">
        <f t="shared" ref="O2:O33" si="1">J2+K2</f>
        <v>13647</v>
      </c>
      <c r="P2" s="1">
        <f t="shared" ref="P2:P33" si="2">L2+M2</f>
        <v>130229</v>
      </c>
      <c r="Q2" s="1">
        <v>152</v>
      </c>
      <c r="R2" s="1">
        <v>68</v>
      </c>
      <c r="S2" s="1">
        <v>5777</v>
      </c>
      <c r="T2" s="1">
        <v>821</v>
      </c>
      <c r="U2" s="1">
        <v>49422</v>
      </c>
      <c r="V2" s="1">
        <v>7572</v>
      </c>
      <c r="W2" s="1">
        <f t="shared" ref="W2:W33" si="3">Q2+R2</f>
        <v>220</v>
      </c>
      <c r="X2" s="1">
        <f t="shared" ref="X2:X33" si="4">S2+T2</f>
        <v>6598</v>
      </c>
      <c r="Y2" s="1">
        <f t="shared" ref="Y2:Y33" si="5">U2+V2</f>
        <v>56994</v>
      </c>
      <c r="Z2" s="1">
        <v>9.5500000000000007</v>
      </c>
      <c r="AA2" s="1">
        <v>9.2200000000000006</v>
      </c>
      <c r="AB2" s="1">
        <f>(Z2+AA2)/2</f>
        <v>9.3850000000000016</v>
      </c>
      <c r="AC2" s="1">
        <v>14.26</v>
      </c>
      <c r="AD2" s="1">
        <v>14.53</v>
      </c>
      <c r="AE2" s="1">
        <f>(AC2+AD2)/2</f>
        <v>14.395</v>
      </c>
      <c r="AF2" s="1">
        <f>(AD2+AE2)/2</f>
        <v>14.462499999999999</v>
      </c>
      <c r="AG2" s="1">
        <v>99.67</v>
      </c>
      <c r="AH2" s="1">
        <v>98.42</v>
      </c>
      <c r="AI2" s="1">
        <v>83.28</v>
      </c>
      <c r="AJ2" s="1">
        <v>34.950000000000003</v>
      </c>
      <c r="AK2" s="1">
        <v>3335</v>
      </c>
      <c r="AL2" s="1">
        <v>178</v>
      </c>
      <c r="AM2" s="1">
        <v>3513</v>
      </c>
      <c r="AN2" s="1">
        <v>45034</v>
      </c>
      <c r="AO2" s="1">
        <v>2416</v>
      </c>
      <c r="AP2" s="1">
        <v>47450</v>
      </c>
      <c r="AQ2" s="1">
        <v>454603</v>
      </c>
      <c r="AR2" s="1">
        <v>34228</v>
      </c>
      <c r="AS2" s="1">
        <v>488831</v>
      </c>
      <c r="AT2">
        <v>897</v>
      </c>
      <c r="AU2">
        <v>316</v>
      </c>
      <c r="AV2">
        <v>1213</v>
      </c>
      <c r="AW2">
        <v>20137</v>
      </c>
      <c r="AX2">
        <v>3431</v>
      </c>
      <c r="AY2">
        <v>23568</v>
      </c>
      <c r="AZ2">
        <v>160011</v>
      </c>
      <c r="BA2">
        <v>44534</v>
      </c>
      <c r="BB2">
        <v>204545</v>
      </c>
    </row>
    <row r="3" spans="1:54" x14ac:dyDescent="0.25">
      <c r="A3" s="1" t="s">
        <v>2</v>
      </c>
      <c r="B3" s="1">
        <v>2021</v>
      </c>
      <c r="C3" s="1">
        <v>8.9149999999999991</v>
      </c>
      <c r="D3" s="1">
        <v>8.5500000000000007</v>
      </c>
      <c r="E3" s="1">
        <v>8.75</v>
      </c>
      <c r="F3" s="1">
        <v>20.29</v>
      </c>
      <c r="G3" s="1">
        <v>40.67</v>
      </c>
      <c r="H3" s="1">
        <v>427</v>
      </c>
      <c r="I3" s="1">
        <v>639</v>
      </c>
      <c r="J3" s="1">
        <v>15064</v>
      </c>
      <c r="K3" s="1">
        <v>7806</v>
      </c>
      <c r="L3" s="1">
        <v>246573</v>
      </c>
      <c r="M3" s="1">
        <v>138313</v>
      </c>
      <c r="N3" s="1">
        <f t="shared" si="0"/>
        <v>1066</v>
      </c>
      <c r="O3" s="1">
        <f t="shared" si="1"/>
        <v>22870</v>
      </c>
      <c r="P3" s="1">
        <f t="shared" si="2"/>
        <v>384886</v>
      </c>
      <c r="Q3" s="1">
        <v>269</v>
      </c>
      <c r="R3" s="1">
        <v>705</v>
      </c>
      <c r="S3" s="1">
        <v>10074</v>
      </c>
      <c r="T3" s="1">
        <v>10560</v>
      </c>
      <c r="U3" s="1">
        <v>144571</v>
      </c>
      <c r="V3" s="1">
        <v>183120</v>
      </c>
      <c r="W3" s="1">
        <f t="shared" si="3"/>
        <v>974</v>
      </c>
      <c r="X3" s="1">
        <f t="shared" si="4"/>
        <v>20634</v>
      </c>
      <c r="Y3" s="1">
        <f t="shared" si="5"/>
        <v>327691</v>
      </c>
      <c r="Z3" s="1">
        <v>9.84</v>
      </c>
      <c r="AA3" s="1">
        <v>9.33</v>
      </c>
      <c r="AB3" s="1">
        <f t="shared" ref="AB3:AB40" si="6">(Z3+AA3)/2</f>
        <v>9.5850000000000009</v>
      </c>
      <c r="AC3" s="1">
        <v>13.14</v>
      </c>
      <c r="AD3" s="1">
        <v>13.48</v>
      </c>
      <c r="AE3" s="1">
        <f t="shared" ref="AE3:AF40" si="7">(AC3+AD3)/2</f>
        <v>13.31</v>
      </c>
      <c r="AF3" s="1">
        <f t="shared" si="7"/>
        <v>13.395</v>
      </c>
      <c r="AG3" s="1">
        <v>99.32</v>
      </c>
      <c r="AH3" s="1">
        <v>96.99</v>
      </c>
      <c r="AI3" s="1">
        <v>78.66</v>
      </c>
      <c r="AJ3" s="1">
        <v>29.34</v>
      </c>
      <c r="AK3" s="1">
        <v>8262</v>
      </c>
      <c r="AL3" s="1">
        <v>1528</v>
      </c>
      <c r="AM3" s="1">
        <v>9790</v>
      </c>
      <c r="AN3" s="1">
        <v>88517</v>
      </c>
      <c r="AO3" s="1">
        <v>18477</v>
      </c>
      <c r="AP3" s="1">
        <v>106994</v>
      </c>
      <c r="AQ3" s="1">
        <v>1247205</v>
      </c>
      <c r="AR3" s="1">
        <v>339903</v>
      </c>
      <c r="AS3" s="1">
        <v>1587108</v>
      </c>
      <c r="AT3">
        <v>1331</v>
      </c>
      <c r="AU3">
        <v>1315</v>
      </c>
      <c r="AV3">
        <v>2646</v>
      </c>
      <c r="AW3">
        <v>31669</v>
      </c>
      <c r="AX3">
        <v>13699</v>
      </c>
      <c r="AY3">
        <v>45368</v>
      </c>
      <c r="AZ3">
        <v>433519</v>
      </c>
      <c r="BA3">
        <v>221370</v>
      </c>
      <c r="BB3">
        <v>654889</v>
      </c>
    </row>
    <row r="4" spans="1:54" x14ac:dyDescent="0.25">
      <c r="A4" s="1" t="s">
        <v>3</v>
      </c>
      <c r="B4" s="1">
        <v>2021</v>
      </c>
      <c r="C4" s="1">
        <v>5.0649999999999995</v>
      </c>
      <c r="D4" s="1">
        <v>7.57</v>
      </c>
      <c r="E4" s="1">
        <v>6.335</v>
      </c>
      <c r="F4" s="1">
        <v>18.78</v>
      </c>
      <c r="G4" s="1">
        <v>35.229999999999997</v>
      </c>
      <c r="H4" s="1">
        <v>236</v>
      </c>
      <c r="I4" s="1">
        <v>95</v>
      </c>
      <c r="J4" s="1">
        <v>9829</v>
      </c>
      <c r="K4" s="1">
        <v>1388</v>
      </c>
      <c r="L4" s="1">
        <v>137426</v>
      </c>
      <c r="M4" s="1">
        <v>13988</v>
      </c>
      <c r="N4" s="1">
        <f t="shared" si="0"/>
        <v>331</v>
      </c>
      <c r="O4" s="1">
        <f t="shared" si="1"/>
        <v>11217</v>
      </c>
      <c r="P4" s="1">
        <f t="shared" si="2"/>
        <v>151414</v>
      </c>
      <c r="Q4" s="1">
        <v>114</v>
      </c>
      <c r="R4" s="1">
        <v>98</v>
      </c>
      <c r="S4" s="1">
        <v>6221</v>
      </c>
      <c r="T4" s="1">
        <v>1584</v>
      </c>
      <c r="U4" s="1">
        <v>83668</v>
      </c>
      <c r="V4" s="1">
        <v>15298</v>
      </c>
      <c r="W4" s="1">
        <f t="shared" si="3"/>
        <v>212</v>
      </c>
      <c r="X4" s="1">
        <f t="shared" si="4"/>
        <v>7805</v>
      </c>
      <c r="Y4" s="1">
        <f t="shared" si="5"/>
        <v>98966</v>
      </c>
      <c r="Z4" s="1">
        <v>9.18</v>
      </c>
      <c r="AA4" s="1">
        <v>8.9600000000000009</v>
      </c>
      <c r="AB4" s="1">
        <f t="shared" si="6"/>
        <v>9.07</v>
      </c>
      <c r="AC4" s="1">
        <v>13.7</v>
      </c>
      <c r="AD4" s="1">
        <v>14.61</v>
      </c>
      <c r="AE4" s="1">
        <f t="shared" si="7"/>
        <v>14.154999999999999</v>
      </c>
      <c r="AF4" s="1">
        <f t="shared" si="7"/>
        <v>14.3825</v>
      </c>
      <c r="AG4" s="1">
        <v>99.61</v>
      </c>
      <c r="AH4" s="1">
        <v>96.63</v>
      </c>
      <c r="AI4" s="1">
        <v>84.07</v>
      </c>
      <c r="AJ4" s="1">
        <v>39.4</v>
      </c>
      <c r="AK4" s="1">
        <v>3981</v>
      </c>
      <c r="AL4" s="1">
        <v>264</v>
      </c>
      <c r="AM4" s="1">
        <v>4245</v>
      </c>
      <c r="AN4" s="1">
        <v>41711</v>
      </c>
      <c r="AO4" s="1">
        <v>3961</v>
      </c>
      <c r="AP4" s="1">
        <v>45672</v>
      </c>
      <c r="AQ4" s="1">
        <v>548253</v>
      </c>
      <c r="AR4" s="1">
        <v>60673</v>
      </c>
      <c r="AS4" s="1">
        <v>608926</v>
      </c>
      <c r="AT4">
        <v>674</v>
      </c>
      <c r="AU4">
        <v>171</v>
      </c>
      <c r="AV4">
        <v>845</v>
      </c>
      <c r="AW4">
        <v>15956</v>
      </c>
      <c r="AX4">
        <v>2204</v>
      </c>
      <c r="AY4">
        <v>18160</v>
      </c>
      <c r="AZ4">
        <v>184026</v>
      </c>
      <c r="BA4">
        <v>23579</v>
      </c>
      <c r="BB4">
        <v>207605</v>
      </c>
    </row>
    <row r="5" spans="1:54" x14ac:dyDescent="0.25">
      <c r="A5" s="1" t="s">
        <v>4</v>
      </c>
      <c r="B5" s="1">
        <v>2021</v>
      </c>
      <c r="C5" s="1">
        <v>6.6199999999999992</v>
      </c>
      <c r="D5" s="1">
        <v>7.35</v>
      </c>
      <c r="E5" s="1">
        <v>7.0600000000000005</v>
      </c>
      <c r="F5" s="1">
        <v>21.11</v>
      </c>
      <c r="G5" s="1">
        <v>45.43</v>
      </c>
      <c r="H5" s="1">
        <v>303</v>
      </c>
      <c r="I5" s="1">
        <v>144</v>
      </c>
      <c r="J5" s="1">
        <v>9650</v>
      </c>
      <c r="K5" s="1">
        <v>1893</v>
      </c>
      <c r="L5" s="1">
        <v>142397</v>
      </c>
      <c r="M5" s="1">
        <v>22574</v>
      </c>
      <c r="N5" s="1">
        <f t="shared" si="0"/>
        <v>447</v>
      </c>
      <c r="O5" s="1">
        <f t="shared" si="1"/>
        <v>11543</v>
      </c>
      <c r="P5" s="1">
        <f t="shared" si="2"/>
        <v>164971</v>
      </c>
      <c r="Q5" s="1">
        <v>128</v>
      </c>
      <c r="R5" s="1">
        <v>173</v>
      </c>
      <c r="S5" s="1">
        <v>5108</v>
      </c>
      <c r="T5" s="1">
        <v>3265</v>
      </c>
      <c r="U5" s="1">
        <v>70631</v>
      </c>
      <c r="V5" s="1">
        <v>39575</v>
      </c>
      <c r="W5" s="1">
        <f t="shared" si="3"/>
        <v>301</v>
      </c>
      <c r="X5" s="1">
        <f t="shared" si="4"/>
        <v>8373</v>
      </c>
      <c r="Y5" s="1">
        <f t="shared" si="5"/>
        <v>110206</v>
      </c>
      <c r="Z5" s="1">
        <v>9.41</v>
      </c>
      <c r="AA5" s="1">
        <v>9.01</v>
      </c>
      <c r="AB5" s="1">
        <f t="shared" si="6"/>
        <v>9.2100000000000009</v>
      </c>
      <c r="AC5" s="1">
        <v>13.2</v>
      </c>
      <c r="AD5" s="1">
        <v>13.55</v>
      </c>
      <c r="AE5" s="1">
        <f t="shared" si="7"/>
        <v>13.375</v>
      </c>
      <c r="AF5" s="1">
        <f t="shared" si="7"/>
        <v>13.4625</v>
      </c>
      <c r="AG5" s="1">
        <v>99.65</v>
      </c>
      <c r="AH5" s="1">
        <v>95.66</v>
      </c>
      <c r="AI5" s="1">
        <v>77.81</v>
      </c>
      <c r="AJ5" s="1">
        <v>30.38</v>
      </c>
      <c r="AK5" s="1">
        <v>3210</v>
      </c>
      <c r="AL5" s="1">
        <v>544</v>
      </c>
      <c r="AM5" s="1">
        <v>3754</v>
      </c>
      <c r="AN5" s="1">
        <v>42579</v>
      </c>
      <c r="AO5" s="1">
        <v>8176</v>
      </c>
      <c r="AP5" s="1">
        <v>50755</v>
      </c>
      <c r="AQ5" s="1">
        <v>643438</v>
      </c>
      <c r="AR5" s="1">
        <v>134413</v>
      </c>
      <c r="AS5" s="1">
        <v>777851</v>
      </c>
      <c r="AT5">
        <v>855</v>
      </c>
      <c r="AU5">
        <v>375</v>
      </c>
      <c r="AV5">
        <v>1230</v>
      </c>
      <c r="AW5">
        <v>16013</v>
      </c>
      <c r="AX5">
        <v>4390</v>
      </c>
      <c r="AY5">
        <v>20403</v>
      </c>
      <c r="AZ5">
        <v>206252</v>
      </c>
      <c r="BA5">
        <v>54858</v>
      </c>
      <c r="BB5">
        <v>261110</v>
      </c>
    </row>
    <row r="6" spans="1:54" x14ac:dyDescent="0.25">
      <c r="A6" s="1" t="s">
        <v>5</v>
      </c>
      <c r="B6" s="1">
        <v>2021</v>
      </c>
      <c r="C6" s="1">
        <v>11.01</v>
      </c>
      <c r="D6" s="1">
        <v>6.35</v>
      </c>
      <c r="E6" s="1">
        <v>7.88</v>
      </c>
      <c r="F6" s="1">
        <v>21.76</v>
      </c>
      <c r="G6" s="1">
        <v>37.99</v>
      </c>
      <c r="H6" s="1">
        <v>161</v>
      </c>
      <c r="I6" s="1">
        <v>74</v>
      </c>
      <c r="J6" s="1">
        <v>5121</v>
      </c>
      <c r="K6" s="1">
        <v>712</v>
      </c>
      <c r="L6" s="1">
        <v>68504</v>
      </c>
      <c r="M6" s="1">
        <v>9078</v>
      </c>
      <c r="N6" s="1">
        <f t="shared" si="0"/>
        <v>235</v>
      </c>
      <c r="O6" s="1">
        <f t="shared" si="1"/>
        <v>5833</v>
      </c>
      <c r="P6" s="1">
        <f t="shared" si="2"/>
        <v>77582</v>
      </c>
      <c r="Q6" s="1">
        <v>104</v>
      </c>
      <c r="R6" s="1">
        <v>73</v>
      </c>
      <c r="S6" s="1">
        <v>3484</v>
      </c>
      <c r="T6" s="1">
        <v>978</v>
      </c>
      <c r="U6" s="1">
        <v>42467</v>
      </c>
      <c r="V6" s="1">
        <v>11233</v>
      </c>
      <c r="W6" s="1">
        <f t="shared" si="3"/>
        <v>177</v>
      </c>
      <c r="X6" s="1">
        <f t="shared" si="4"/>
        <v>4462</v>
      </c>
      <c r="Y6" s="1">
        <f t="shared" si="5"/>
        <v>53700</v>
      </c>
      <c r="Z6" s="1">
        <v>8.9499999999999993</v>
      </c>
      <c r="AA6" s="1">
        <v>8.23</v>
      </c>
      <c r="AB6" s="1">
        <f t="shared" si="6"/>
        <v>8.59</v>
      </c>
      <c r="AC6" s="1">
        <v>12.95</v>
      </c>
      <c r="AD6" s="1">
        <v>13.24</v>
      </c>
      <c r="AE6" s="1">
        <f t="shared" si="7"/>
        <v>13.094999999999999</v>
      </c>
      <c r="AF6" s="1">
        <f t="shared" si="7"/>
        <v>13.1675</v>
      </c>
      <c r="AG6" s="1">
        <v>99.66</v>
      </c>
      <c r="AH6" s="1">
        <v>96.39</v>
      </c>
      <c r="AI6" s="1">
        <v>72.5</v>
      </c>
      <c r="AJ6" s="1">
        <v>25.63</v>
      </c>
      <c r="AK6" s="1">
        <v>2316</v>
      </c>
      <c r="AL6" s="1">
        <v>148</v>
      </c>
      <c r="AM6" s="1">
        <v>2464</v>
      </c>
      <c r="AN6" s="1">
        <v>25007</v>
      </c>
      <c r="AO6" s="1">
        <v>2034</v>
      </c>
      <c r="AP6" s="1">
        <v>27041</v>
      </c>
      <c r="AQ6" s="1">
        <v>339955</v>
      </c>
      <c r="AR6" s="1">
        <v>31969</v>
      </c>
      <c r="AS6" s="1">
        <v>371924</v>
      </c>
      <c r="AT6">
        <v>557</v>
      </c>
      <c r="AU6">
        <v>136</v>
      </c>
      <c r="AV6">
        <v>693</v>
      </c>
      <c r="AW6">
        <v>10192</v>
      </c>
      <c r="AX6">
        <v>1360</v>
      </c>
      <c r="AY6">
        <v>11552</v>
      </c>
      <c r="AZ6">
        <v>102206</v>
      </c>
      <c r="BA6">
        <v>20213</v>
      </c>
      <c r="BB6">
        <v>122419</v>
      </c>
    </row>
    <row r="7" spans="1:54" x14ac:dyDescent="0.25">
      <c r="A7" s="1" t="s">
        <v>6</v>
      </c>
      <c r="B7" s="1">
        <v>2021</v>
      </c>
      <c r="C7" s="1">
        <v>12.175000000000001</v>
      </c>
      <c r="D7" s="1">
        <v>13.2</v>
      </c>
      <c r="E7" s="1">
        <v>12.815</v>
      </c>
      <c r="F7" s="1">
        <v>25.38</v>
      </c>
      <c r="G7" s="1">
        <v>35.840000000000003</v>
      </c>
      <c r="H7" s="1">
        <v>329</v>
      </c>
      <c r="I7" s="1">
        <v>270</v>
      </c>
      <c r="J7" s="1">
        <v>10996</v>
      </c>
      <c r="K7" s="1">
        <v>3202</v>
      </c>
      <c r="L7" s="1">
        <v>163305</v>
      </c>
      <c r="M7" s="1">
        <v>46870</v>
      </c>
      <c r="N7" s="1">
        <f t="shared" si="0"/>
        <v>599</v>
      </c>
      <c r="O7" s="1">
        <f t="shared" si="1"/>
        <v>14198</v>
      </c>
      <c r="P7" s="1">
        <f t="shared" si="2"/>
        <v>210175</v>
      </c>
      <c r="Q7" s="1">
        <v>118</v>
      </c>
      <c r="R7" s="1">
        <v>187</v>
      </c>
      <c r="S7" s="1">
        <v>5073</v>
      </c>
      <c r="T7" s="1">
        <v>3161</v>
      </c>
      <c r="U7" s="1">
        <v>77946</v>
      </c>
      <c r="V7" s="1">
        <v>51701</v>
      </c>
      <c r="W7" s="1">
        <f t="shared" si="3"/>
        <v>305</v>
      </c>
      <c r="X7" s="1">
        <f t="shared" si="4"/>
        <v>8234</v>
      </c>
      <c r="Y7" s="1">
        <f t="shared" si="5"/>
        <v>129647</v>
      </c>
      <c r="Z7" s="1">
        <v>8.58</v>
      </c>
      <c r="AA7" s="1">
        <v>8.01</v>
      </c>
      <c r="AB7" s="1">
        <f t="shared" si="6"/>
        <v>8.2949999999999999</v>
      </c>
      <c r="AC7" s="1">
        <v>12.51</v>
      </c>
      <c r="AD7" s="1">
        <v>12.63</v>
      </c>
      <c r="AE7" s="1">
        <f t="shared" si="7"/>
        <v>12.57</v>
      </c>
      <c r="AF7" s="1">
        <f t="shared" si="7"/>
        <v>12.600000000000001</v>
      </c>
      <c r="AG7" s="1">
        <v>99.65</v>
      </c>
      <c r="AH7" s="1">
        <v>94.85</v>
      </c>
      <c r="AI7" s="1">
        <v>71.53</v>
      </c>
      <c r="AJ7" s="1">
        <v>20.41</v>
      </c>
      <c r="AK7" s="1">
        <v>4262</v>
      </c>
      <c r="AL7" s="1">
        <v>423</v>
      </c>
      <c r="AM7" s="1">
        <v>4685</v>
      </c>
      <c r="AN7" s="1">
        <v>53105</v>
      </c>
      <c r="AO7" s="1">
        <v>5418</v>
      </c>
      <c r="AP7" s="1">
        <v>58523</v>
      </c>
      <c r="AQ7" s="1">
        <v>812885</v>
      </c>
      <c r="AR7" s="1">
        <v>83285</v>
      </c>
      <c r="AS7" s="1">
        <v>896170</v>
      </c>
      <c r="AT7">
        <v>901</v>
      </c>
      <c r="AU7">
        <v>481</v>
      </c>
      <c r="AV7">
        <v>1382</v>
      </c>
      <c r="AW7">
        <v>21653</v>
      </c>
      <c r="AX7">
        <v>4954</v>
      </c>
      <c r="AY7">
        <v>26607</v>
      </c>
      <c r="AZ7">
        <v>287828</v>
      </c>
      <c r="BA7">
        <v>71500</v>
      </c>
      <c r="BB7">
        <v>359328</v>
      </c>
    </row>
    <row r="8" spans="1:54" x14ac:dyDescent="0.25">
      <c r="A8" s="1" t="s">
        <v>7</v>
      </c>
      <c r="B8" s="1">
        <v>2021</v>
      </c>
      <c r="C8" s="1">
        <v>14.914999999999999</v>
      </c>
      <c r="D8" s="1">
        <v>14.78</v>
      </c>
      <c r="E8" s="1">
        <v>14.824999999999999</v>
      </c>
      <c r="F8" s="1">
        <v>22.75</v>
      </c>
      <c r="G8" s="1">
        <v>31.84</v>
      </c>
      <c r="H8" s="1">
        <v>109</v>
      </c>
      <c r="I8" s="1">
        <v>34</v>
      </c>
      <c r="J8" s="1">
        <v>3738</v>
      </c>
      <c r="K8" s="1">
        <v>285</v>
      </c>
      <c r="L8" s="1">
        <v>49702</v>
      </c>
      <c r="M8" s="1">
        <v>2467</v>
      </c>
      <c r="N8" s="1">
        <f t="shared" si="0"/>
        <v>143</v>
      </c>
      <c r="O8" s="1">
        <f t="shared" si="1"/>
        <v>4023</v>
      </c>
      <c r="P8" s="1">
        <f t="shared" si="2"/>
        <v>52169</v>
      </c>
      <c r="Q8" s="1">
        <v>64</v>
      </c>
      <c r="R8" s="1">
        <v>41</v>
      </c>
      <c r="S8" s="1">
        <v>2454</v>
      </c>
      <c r="T8" s="1">
        <v>522</v>
      </c>
      <c r="U8" s="1">
        <v>30559</v>
      </c>
      <c r="V8" s="1">
        <v>4262</v>
      </c>
      <c r="W8" s="1">
        <f t="shared" si="3"/>
        <v>105</v>
      </c>
      <c r="X8" s="1">
        <f t="shared" si="4"/>
        <v>2976</v>
      </c>
      <c r="Y8" s="1">
        <f t="shared" si="5"/>
        <v>34821</v>
      </c>
      <c r="Z8" s="1">
        <v>9.19</v>
      </c>
      <c r="AA8" s="1">
        <v>8.59</v>
      </c>
      <c r="AB8" s="1">
        <f t="shared" si="6"/>
        <v>8.89</v>
      </c>
      <c r="AC8" s="1">
        <v>13.62</v>
      </c>
      <c r="AD8" s="1">
        <v>14.06</v>
      </c>
      <c r="AE8" s="1">
        <f t="shared" si="7"/>
        <v>13.84</v>
      </c>
      <c r="AF8" s="1">
        <f t="shared" si="7"/>
        <v>13.95</v>
      </c>
      <c r="AG8" s="1">
        <v>99.76</v>
      </c>
      <c r="AH8" s="1">
        <v>97.49</v>
      </c>
      <c r="AI8" s="1">
        <v>79.75</v>
      </c>
      <c r="AJ8" s="1">
        <v>33.590000000000003</v>
      </c>
      <c r="AK8" s="1">
        <v>1304</v>
      </c>
      <c r="AL8" s="1">
        <v>93</v>
      </c>
      <c r="AM8" s="1">
        <v>1397</v>
      </c>
      <c r="AN8" s="1">
        <v>14053</v>
      </c>
      <c r="AO8" s="1">
        <v>1564</v>
      </c>
      <c r="AP8" s="1">
        <v>15617</v>
      </c>
      <c r="AQ8" s="1">
        <v>179930</v>
      </c>
      <c r="AR8" s="1">
        <v>19348</v>
      </c>
      <c r="AS8" s="1">
        <v>199278</v>
      </c>
      <c r="AT8">
        <v>381</v>
      </c>
      <c r="AU8">
        <v>58</v>
      </c>
      <c r="AV8">
        <v>439</v>
      </c>
      <c r="AW8">
        <v>7053</v>
      </c>
      <c r="AX8">
        <v>654</v>
      </c>
      <c r="AY8">
        <v>7707</v>
      </c>
      <c r="AZ8">
        <v>79778</v>
      </c>
      <c r="BA8">
        <v>7344</v>
      </c>
      <c r="BB8">
        <v>87122</v>
      </c>
    </row>
    <row r="9" spans="1:54" x14ac:dyDescent="0.25">
      <c r="A9" s="1" t="s">
        <v>8</v>
      </c>
      <c r="B9" s="1">
        <v>2021</v>
      </c>
      <c r="C9" s="1">
        <v>8.8949999999999996</v>
      </c>
      <c r="D9" s="1">
        <v>13.68</v>
      </c>
      <c r="E9" s="1">
        <v>12.145</v>
      </c>
      <c r="F9" s="1">
        <v>22.09</v>
      </c>
      <c r="G9" s="1">
        <v>28.69</v>
      </c>
      <c r="H9" s="1">
        <v>238</v>
      </c>
      <c r="I9" s="1">
        <v>274</v>
      </c>
      <c r="J9" s="1">
        <v>8117</v>
      </c>
      <c r="K9" s="1">
        <v>3049</v>
      </c>
      <c r="L9" s="1">
        <v>121056</v>
      </c>
      <c r="M9" s="1">
        <v>39038</v>
      </c>
      <c r="N9" s="1">
        <f t="shared" si="0"/>
        <v>512</v>
      </c>
      <c r="O9" s="1">
        <f t="shared" si="1"/>
        <v>11166</v>
      </c>
      <c r="P9" s="1">
        <f t="shared" si="2"/>
        <v>160094</v>
      </c>
      <c r="Q9" s="1">
        <v>111</v>
      </c>
      <c r="R9" s="1">
        <v>377</v>
      </c>
      <c r="S9" s="1">
        <v>4864</v>
      </c>
      <c r="T9" s="1">
        <v>6119</v>
      </c>
      <c r="U9" s="1">
        <v>73851</v>
      </c>
      <c r="V9" s="1">
        <v>85975</v>
      </c>
      <c r="W9" s="1">
        <f t="shared" si="3"/>
        <v>488</v>
      </c>
      <c r="X9" s="1">
        <f t="shared" si="4"/>
        <v>10983</v>
      </c>
      <c r="Y9" s="1">
        <f t="shared" si="5"/>
        <v>159826</v>
      </c>
      <c r="Z9" s="1">
        <v>8.39</v>
      </c>
      <c r="AA9" s="1">
        <v>7.76</v>
      </c>
      <c r="AB9" s="1">
        <f t="shared" si="6"/>
        <v>8.0749999999999993</v>
      </c>
      <c r="AC9" s="1">
        <v>12.64</v>
      </c>
      <c r="AD9" s="1">
        <v>12.95</v>
      </c>
      <c r="AE9" s="1">
        <f t="shared" si="7"/>
        <v>12.795</v>
      </c>
      <c r="AF9" s="1">
        <f t="shared" si="7"/>
        <v>12.872499999999999</v>
      </c>
      <c r="AG9" s="1">
        <v>99.53</v>
      </c>
      <c r="AH9" s="1">
        <v>95.58</v>
      </c>
      <c r="AI9" s="1">
        <v>71.72</v>
      </c>
      <c r="AJ9" s="1">
        <v>23.05</v>
      </c>
      <c r="AK9" s="1">
        <v>4337</v>
      </c>
      <c r="AL9" s="1">
        <v>394</v>
      </c>
      <c r="AM9" s="1">
        <v>4731</v>
      </c>
      <c r="AN9" s="1">
        <v>50155</v>
      </c>
      <c r="AO9" s="1">
        <v>5155</v>
      </c>
      <c r="AP9" s="1">
        <v>55310</v>
      </c>
      <c r="AQ9" s="1">
        <v>736382</v>
      </c>
      <c r="AR9" s="1">
        <v>77533</v>
      </c>
      <c r="AS9" s="1">
        <v>813915</v>
      </c>
      <c r="AT9">
        <v>710</v>
      </c>
      <c r="AU9">
        <v>702</v>
      </c>
      <c r="AV9">
        <v>1412</v>
      </c>
      <c r="AW9">
        <v>17178</v>
      </c>
      <c r="AX9">
        <v>6972</v>
      </c>
      <c r="AY9">
        <v>24150</v>
      </c>
      <c r="AZ9">
        <v>240771</v>
      </c>
      <c r="BA9">
        <v>88530</v>
      </c>
      <c r="BB9">
        <v>329301</v>
      </c>
    </row>
    <row r="10" spans="1:54" x14ac:dyDescent="0.25">
      <c r="A10" s="1" t="s">
        <v>9</v>
      </c>
      <c r="B10" s="1">
        <v>2021</v>
      </c>
      <c r="C10" s="1">
        <v>3.395</v>
      </c>
      <c r="D10" s="1">
        <v>6.6</v>
      </c>
      <c r="E10" s="1">
        <v>4.7850000000000001</v>
      </c>
      <c r="F10" s="1">
        <v>24.38</v>
      </c>
      <c r="G10" s="1">
        <v>49.07</v>
      </c>
      <c r="H10" s="1">
        <v>45</v>
      </c>
      <c r="I10" s="1">
        <v>25</v>
      </c>
      <c r="J10" s="1">
        <v>1394</v>
      </c>
      <c r="K10" s="1">
        <v>298</v>
      </c>
      <c r="L10" s="1">
        <v>25447</v>
      </c>
      <c r="M10" s="1">
        <v>3966</v>
      </c>
      <c r="N10" s="1">
        <f t="shared" si="0"/>
        <v>70</v>
      </c>
      <c r="O10" s="1">
        <f t="shared" si="1"/>
        <v>1692</v>
      </c>
      <c r="P10" s="1">
        <f t="shared" si="2"/>
        <v>29413</v>
      </c>
      <c r="Q10" s="1">
        <v>36</v>
      </c>
      <c r="R10" s="1">
        <v>23</v>
      </c>
      <c r="S10" s="1">
        <v>1334</v>
      </c>
      <c r="T10" s="1">
        <v>385</v>
      </c>
      <c r="U10" s="1">
        <v>21046</v>
      </c>
      <c r="V10" s="1">
        <v>5781</v>
      </c>
      <c r="W10" s="1">
        <f t="shared" si="3"/>
        <v>59</v>
      </c>
      <c r="X10" s="1">
        <f t="shared" si="4"/>
        <v>1719</v>
      </c>
      <c r="Y10" s="1">
        <f t="shared" si="5"/>
        <v>26827</v>
      </c>
      <c r="Z10" s="1">
        <v>8.42</v>
      </c>
      <c r="AA10" s="1">
        <v>7.82</v>
      </c>
      <c r="AB10" s="1">
        <f t="shared" si="6"/>
        <v>8.120000000000001</v>
      </c>
      <c r="AC10" s="1">
        <v>12.11</v>
      </c>
      <c r="AD10" s="1">
        <v>12.21</v>
      </c>
      <c r="AE10" s="1">
        <f t="shared" si="7"/>
        <v>12.16</v>
      </c>
      <c r="AF10" s="1">
        <f t="shared" si="7"/>
        <v>12.185</v>
      </c>
      <c r="AG10" s="1">
        <v>99.47</v>
      </c>
      <c r="AH10" s="1">
        <v>93.17</v>
      </c>
      <c r="AI10" s="1">
        <v>68.150000000000006</v>
      </c>
      <c r="AJ10" s="1">
        <v>19.100000000000001</v>
      </c>
      <c r="AK10" s="1">
        <v>760</v>
      </c>
      <c r="AL10" s="1">
        <v>66</v>
      </c>
      <c r="AM10" s="1">
        <v>826</v>
      </c>
      <c r="AN10" s="1">
        <v>8520</v>
      </c>
      <c r="AO10" s="1">
        <v>975</v>
      </c>
      <c r="AP10" s="1">
        <v>9495</v>
      </c>
      <c r="AQ10" s="1">
        <v>147951</v>
      </c>
      <c r="AR10" s="1">
        <v>15743</v>
      </c>
      <c r="AS10" s="1">
        <v>163694</v>
      </c>
      <c r="AT10">
        <v>161</v>
      </c>
      <c r="AU10">
        <v>62</v>
      </c>
      <c r="AV10">
        <v>223</v>
      </c>
      <c r="AW10">
        <v>3180</v>
      </c>
      <c r="AX10">
        <v>632</v>
      </c>
      <c r="AY10">
        <v>3812</v>
      </c>
      <c r="AZ10">
        <v>53168</v>
      </c>
      <c r="BA10">
        <v>8768</v>
      </c>
      <c r="BB10">
        <v>61936</v>
      </c>
    </row>
    <row r="11" spans="1:54" x14ac:dyDescent="0.25">
      <c r="A11" s="1" t="s">
        <v>10</v>
      </c>
      <c r="B11" s="1">
        <v>2021</v>
      </c>
      <c r="C11" s="1">
        <v>5.5449999999999999</v>
      </c>
      <c r="D11" s="1">
        <v>10.774999999999999</v>
      </c>
      <c r="E11" s="1">
        <v>5.9350000000000005</v>
      </c>
      <c r="F11" s="1">
        <v>16.420000000000002</v>
      </c>
      <c r="G11" s="1">
        <v>64.8</v>
      </c>
      <c r="H11" s="1">
        <v>93</v>
      </c>
      <c r="I11" s="1">
        <v>59</v>
      </c>
      <c r="J11" s="1">
        <v>2699</v>
      </c>
      <c r="K11" s="1">
        <v>653</v>
      </c>
      <c r="L11" s="1">
        <v>44499</v>
      </c>
      <c r="M11" s="1">
        <v>7759</v>
      </c>
      <c r="N11" s="1">
        <f t="shared" si="0"/>
        <v>152</v>
      </c>
      <c r="O11" s="1">
        <f t="shared" si="1"/>
        <v>3352</v>
      </c>
      <c r="P11" s="1">
        <f t="shared" si="2"/>
        <v>52258</v>
      </c>
      <c r="Q11" s="1">
        <v>36</v>
      </c>
      <c r="R11" s="1">
        <v>75</v>
      </c>
      <c r="S11" s="1">
        <v>1507</v>
      </c>
      <c r="T11" s="1">
        <v>920</v>
      </c>
      <c r="U11" s="1">
        <v>26467</v>
      </c>
      <c r="V11" s="1">
        <v>11234</v>
      </c>
      <c r="W11" s="1">
        <f t="shared" si="3"/>
        <v>111</v>
      </c>
      <c r="X11" s="1">
        <f t="shared" si="4"/>
        <v>2427</v>
      </c>
      <c r="Y11" s="1">
        <f t="shared" si="5"/>
        <v>37701</v>
      </c>
      <c r="Z11" s="1">
        <v>10.3</v>
      </c>
      <c r="AA11" s="1">
        <v>10.06</v>
      </c>
      <c r="AB11" s="1">
        <f t="shared" si="6"/>
        <v>10.18</v>
      </c>
      <c r="AC11" s="1">
        <v>12.85</v>
      </c>
      <c r="AD11" s="1">
        <v>13.15</v>
      </c>
      <c r="AE11" s="1">
        <f t="shared" si="7"/>
        <v>13</v>
      </c>
      <c r="AF11" s="1">
        <f t="shared" si="7"/>
        <v>13.074999999999999</v>
      </c>
      <c r="AG11" s="1">
        <v>99.62</v>
      </c>
      <c r="AH11" s="1">
        <v>98.85</v>
      </c>
      <c r="AI11" s="1">
        <v>84.4</v>
      </c>
      <c r="AJ11" s="1">
        <v>22.69</v>
      </c>
      <c r="AK11" s="1">
        <v>683</v>
      </c>
      <c r="AL11" s="1">
        <v>285</v>
      </c>
      <c r="AM11" s="1">
        <v>968</v>
      </c>
      <c r="AN11" s="1">
        <v>9331</v>
      </c>
      <c r="AO11" s="1">
        <v>4446</v>
      </c>
      <c r="AP11" s="1">
        <v>13777</v>
      </c>
      <c r="AQ11" s="1">
        <v>155760</v>
      </c>
      <c r="AR11" s="1">
        <v>70691</v>
      </c>
      <c r="AS11" s="1">
        <v>226451</v>
      </c>
      <c r="AT11">
        <v>234</v>
      </c>
      <c r="AU11">
        <v>165</v>
      </c>
      <c r="AV11">
        <v>399</v>
      </c>
      <c r="AW11">
        <v>4310</v>
      </c>
      <c r="AX11">
        <v>1782</v>
      </c>
      <c r="AY11">
        <v>6092</v>
      </c>
      <c r="AZ11">
        <v>74328</v>
      </c>
      <c r="BA11">
        <v>22383</v>
      </c>
      <c r="BB11">
        <v>96711</v>
      </c>
    </row>
    <row r="12" spans="1:54" x14ac:dyDescent="0.25">
      <c r="A12" s="1" t="s">
        <v>11</v>
      </c>
      <c r="B12" s="1">
        <v>2021</v>
      </c>
      <c r="C12" s="1">
        <v>4.6950000000000003</v>
      </c>
      <c r="D12" s="1">
        <v>4.6950000000000003</v>
      </c>
      <c r="E12" s="1">
        <v>4.6950000000000003</v>
      </c>
      <c r="F12" s="1">
        <v>20.47</v>
      </c>
      <c r="G12" s="1">
        <v>61.74</v>
      </c>
      <c r="H12" s="1">
        <v>117</v>
      </c>
      <c r="I12" s="1">
        <v>372</v>
      </c>
      <c r="J12" s="1">
        <v>4970</v>
      </c>
      <c r="K12" s="1">
        <v>6188</v>
      </c>
      <c r="L12" s="1">
        <v>91776</v>
      </c>
      <c r="M12" s="1">
        <v>89807</v>
      </c>
      <c r="N12" s="1">
        <f t="shared" si="0"/>
        <v>489</v>
      </c>
      <c r="O12" s="1">
        <f t="shared" si="1"/>
        <v>11158</v>
      </c>
      <c r="P12" s="1">
        <f t="shared" si="2"/>
        <v>181583</v>
      </c>
      <c r="Q12" s="1">
        <v>73</v>
      </c>
      <c r="R12" s="1">
        <v>503</v>
      </c>
      <c r="S12" s="1">
        <v>3158</v>
      </c>
      <c r="T12" s="1">
        <v>8810</v>
      </c>
      <c r="U12" s="1">
        <v>59956</v>
      </c>
      <c r="V12" s="1">
        <v>147523</v>
      </c>
      <c r="W12" s="1">
        <f t="shared" si="3"/>
        <v>576</v>
      </c>
      <c r="X12" s="1">
        <f t="shared" si="4"/>
        <v>11968</v>
      </c>
      <c r="Y12" s="1">
        <f t="shared" si="5"/>
        <v>207479</v>
      </c>
      <c r="Z12" s="1">
        <v>11.52</v>
      </c>
      <c r="AA12" s="1">
        <v>10.83</v>
      </c>
      <c r="AB12" s="1">
        <f t="shared" si="6"/>
        <v>11.175000000000001</v>
      </c>
      <c r="AC12" s="1">
        <v>13.1</v>
      </c>
      <c r="AD12" s="1">
        <v>13.03</v>
      </c>
      <c r="AE12" s="1">
        <f t="shared" si="7"/>
        <v>13.065</v>
      </c>
      <c r="AF12" s="1">
        <f t="shared" si="7"/>
        <v>13.047499999999999</v>
      </c>
      <c r="AG12" s="1">
        <v>99.53</v>
      </c>
      <c r="AH12" s="1">
        <v>98.68</v>
      </c>
      <c r="AI12" s="1">
        <v>72.319999999999993</v>
      </c>
      <c r="AJ12" s="1">
        <v>26.91</v>
      </c>
      <c r="AK12" s="1">
        <v>1447</v>
      </c>
      <c r="AL12" s="1">
        <v>921</v>
      </c>
      <c r="AM12" s="1">
        <v>2368</v>
      </c>
      <c r="AN12" s="1">
        <v>24218</v>
      </c>
      <c r="AO12" s="1">
        <v>15607</v>
      </c>
      <c r="AP12" s="1">
        <v>39825</v>
      </c>
      <c r="AQ12" s="1">
        <v>558320</v>
      </c>
      <c r="AR12" s="1">
        <v>224134</v>
      </c>
      <c r="AS12" s="1">
        <v>782454</v>
      </c>
      <c r="AT12">
        <v>293</v>
      </c>
      <c r="AU12">
        <v>784</v>
      </c>
      <c r="AV12">
        <v>1077</v>
      </c>
      <c r="AW12">
        <v>9980</v>
      </c>
      <c r="AX12">
        <v>9648</v>
      </c>
      <c r="AY12">
        <v>19628</v>
      </c>
      <c r="AZ12">
        <v>222930</v>
      </c>
      <c r="BA12">
        <v>138926</v>
      </c>
      <c r="BB12">
        <v>361856</v>
      </c>
    </row>
    <row r="13" spans="1:54" x14ac:dyDescent="0.25">
      <c r="A13" s="1" t="s">
        <v>12</v>
      </c>
      <c r="B13" s="1">
        <v>2021</v>
      </c>
      <c r="C13" s="1">
        <v>7.65</v>
      </c>
      <c r="D13" s="1">
        <v>10.11</v>
      </c>
      <c r="E13" s="1">
        <v>8.1850000000000005</v>
      </c>
      <c r="F13" s="1">
        <v>26.44</v>
      </c>
      <c r="G13" s="1">
        <v>45.39</v>
      </c>
      <c r="H13" s="1">
        <v>512</v>
      </c>
      <c r="I13" s="1">
        <v>1155</v>
      </c>
      <c r="J13" s="1">
        <v>22324</v>
      </c>
      <c r="K13" s="1">
        <v>15697</v>
      </c>
      <c r="L13" s="1">
        <v>486621</v>
      </c>
      <c r="M13" s="1">
        <v>277009</v>
      </c>
      <c r="N13" s="1">
        <f t="shared" si="0"/>
        <v>1667</v>
      </c>
      <c r="O13" s="1">
        <f t="shared" si="1"/>
        <v>38021</v>
      </c>
      <c r="P13" s="1">
        <f t="shared" si="2"/>
        <v>763630</v>
      </c>
      <c r="Q13" s="1">
        <v>288</v>
      </c>
      <c r="R13" s="1">
        <v>2619</v>
      </c>
      <c r="S13" s="1">
        <v>15960</v>
      </c>
      <c r="T13" s="1">
        <v>42169</v>
      </c>
      <c r="U13" s="1">
        <v>342636</v>
      </c>
      <c r="V13" s="1">
        <v>804274</v>
      </c>
      <c r="W13" s="1">
        <f t="shared" si="3"/>
        <v>2907</v>
      </c>
      <c r="X13" s="1">
        <f t="shared" si="4"/>
        <v>58129</v>
      </c>
      <c r="Y13" s="1">
        <f t="shared" si="5"/>
        <v>1146910</v>
      </c>
      <c r="Z13" s="1">
        <v>8.98</v>
      </c>
      <c r="AA13" s="1">
        <v>8.23</v>
      </c>
      <c r="AB13" s="1">
        <f t="shared" si="6"/>
        <v>8.6050000000000004</v>
      </c>
      <c r="AC13" s="1">
        <v>12.59</v>
      </c>
      <c r="AD13" s="1">
        <v>12.68</v>
      </c>
      <c r="AE13" s="1">
        <f t="shared" si="7"/>
        <v>12.635</v>
      </c>
      <c r="AF13" s="1">
        <f t="shared" si="7"/>
        <v>12.657499999999999</v>
      </c>
      <c r="AG13" s="1">
        <v>99.5</v>
      </c>
      <c r="AH13" s="1">
        <v>95.09</v>
      </c>
      <c r="AI13" s="1">
        <v>67.8</v>
      </c>
      <c r="AJ13" s="1">
        <v>24.82</v>
      </c>
      <c r="AK13" s="1">
        <v>17424</v>
      </c>
      <c r="AL13" s="1">
        <v>2215</v>
      </c>
      <c r="AM13" s="1">
        <v>19639</v>
      </c>
      <c r="AN13" s="1">
        <v>175714</v>
      </c>
      <c r="AO13" s="1">
        <v>33972</v>
      </c>
      <c r="AP13" s="1">
        <v>209686</v>
      </c>
      <c r="AQ13" s="1">
        <v>3903979</v>
      </c>
      <c r="AR13" s="1">
        <v>549000</v>
      </c>
      <c r="AS13" s="1">
        <v>4452979</v>
      </c>
      <c r="AT13">
        <v>1969</v>
      </c>
      <c r="AU13">
        <v>3715</v>
      </c>
      <c r="AV13">
        <v>5684</v>
      </c>
      <c r="AW13">
        <v>54222</v>
      </c>
      <c r="AX13">
        <v>41217</v>
      </c>
      <c r="AY13">
        <v>95439</v>
      </c>
      <c r="AZ13">
        <v>1113692</v>
      </c>
      <c r="BA13">
        <v>687467</v>
      </c>
      <c r="BB13">
        <v>1801159</v>
      </c>
    </row>
    <row r="14" spans="1:54" x14ac:dyDescent="0.25">
      <c r="A14" s="1" t="s">
        <v>13</v>
      </c>
      <c r="B14" s="1">
        <v>2021</v>
      </c>
      <c r="C14" s="1">
        <v>10.370000000000001</v>
      </c>
      <c r="D14" s="1">
        <v>12.754999999999999</v>
      </c>
      <c r="E14" s="1">
        <v>11.52</v>
      </c>
      <c r="F14" s="1">
        <v>20.32</v>
      </c>
      <c r="G14" s="1">
        <v>39.619999999999997</v>
      </c>
      <c r="H14" s="1">
        <v>360</v>
      </c>
      <c r="I14" s="1">
        <v>488</v>
      </c>
      <c r="J14" s="1">
        <v>17407</v>
      </c>
      <c r="K14" s="1">
        <v>7481</v>
      </c>
      <c r="L14" s="1">
        <v>330165</v>
      </c>
      <c r="M14" s="1">
        <v>99521</v>
      </c>
      <c r="N14" s="1">
        <f t="shared" si="0"/>
        <v>848</v>
      </c>
      <c r="O14" s="1">
        <f t="shared" si="1"/>
        <v>24888</v>
      </c>
      <c r="P14" s="1">
        <f t="shared" si="2"/>
        <v>429686</v>
      </c>
      <c r="Q14" s="1">
        <v>237</v>
      </c>
      <c r="R14" s="1">
        <v>1314</v>
      </c>
      <c r="S14" s="1">
        <v>15738</v>
      </c>
      <c r="T14" s="1">
        <v>30657</v>
      </c>
      <c r="U14" s="1">
        <v>313603</v>
      </c>
      <c r="V14" s="1">
        <v>524814</v>
      </c>
      <c r="W14" s="1">
        <f t="shared" si="3"/>
        <v>1551</v>
      </c>
      <c r="X14" s="1">
        <f t="shared" si="4"/>
        <v>46395</v>
      </c>
      <c r="Y14" s="1">
        <f t="shared" si="5"/>
        <v>838417</v>
      </c>
      <c r="Z14" s="1">
        <v>8.17</v>
      </c>
      <c r="AA14" s="1">
        <v>7.34</v>
      </c>
      <c r="AB14" s="1">
        <f t="shared" si="6"/>
        <v>7.7549999999999999</v>
      </c>
      <c r="AC14" s="1">
        <v>12.71</v>
      </c>
      <c r="AD14" s="1">
        <v>12.93</v>
      </c>
      <c r="AE14" s="1">
        <f t="shared" si="7"/>
        <v>12.82</v>
      </c>
      <c r="AF14" s="1">
        <f t="shared" si="7"/>
        <v>12.875</v>
      </c>
      <c r="AG14" s="1">
        <v>99.66</v>
      </c>
      <c r="AH14" s="1">
        <v>96.84</v>
      </c>
      <c r="AI14" s="1">
        <v>70.790000000000006</v>
      </c>
      <c r="AJ14" s="1">
        <v>25.19</v>
      </c>
      <c r="AK14" s="1">
        <v>17547</v>
      </c>
      <c r="AL14" s="1">
        <v>1237</v>
      </c>
      <c r="AM14" s="1">
        <v>18784</v>
      </c>
      <c r="AN14" s="1">
        <v>154616</v>
      </c>
      <c r="AO14" s="1">
        <v>17568</v>
      </c>
      <c r="AP14" s="1">
        <v>172184</v>
      </c>
      <c r="AQ14" s="1">
        <v>2378205</v>
      </c>
      <c r="AR14" s="1">
        <v>305510</v>
      </c>
      <c r="AS14" s="1">
        <v>2683715</v>
      </c>
      <c r="AT14">
        <v>1769</v>
      </c>
      <c r="AU14">
        <v>1613</v>
      </c>
      <c r="AV14">
        <v>3382</v>
      </c>
      <c r="AW14">
        <v>51611</v>
      </c>
      <c r="AX14">
        <v>20280</v>
      </c>
      <c r="AY14">
        <v>71891</v>
      </c>
      <c r="AZ14">
        <v>919373</v>
      </c>
      <c r="BA14">
        <v>281513</v>
      </c>
      <c r="BB14">
        <v>1200886</v>
      </c>
    </row>
    <row r="15" spans="1:54" x14ac:dyDescent="0.25">
      <c r="A15" s="1" t="s">
        <v>14</v>
      </c>
      <c r="B15" s="1">
        <v>2021</v>
      </c>
      <c r="C15" s="1">
        <v>11.715</v>
      </c>
      <c r="D15" s="1">
        <v>14.215</v>
      </c>
      <c r="E15" s="1">
        <v>12.355</v>
      </c>
      <c r="F15" s="1">
        <v>9.89</v>
      </c>
      <c r="G15" s="1">
        <v>44.64</v>
      </c>
      <c r="H15" s="1">
        <v>69</v>
      </c>
      <c r="I15" s="1">
        <v>100</v>
      </c>
      <c r="J15" s="1">
        <v>2654</v>
      </c>
      <c r="K15" s="1">
        <v>1621</v>
      </c>
      <c r="L15" s="1">
        <v>42315</v>
      </c>
      <c r="M15" s="1">
        <v>16240</v>
      </c>
      <c r="N15" s="1">
        <f t="shared" si="0"/>
        <v>169</v>
      </c>
      <c r="O15" s="1">
        <f t="shared" si="1"/>
        <v>4275</v>
      </c>
      <c r="P15" s="1">
        <f t="shared" si="2"/>
        <v>58555</v>
      </c>
      <c r="Q15" s="1">
        <v>50</v>
      </c>
      <c r="R15" s="1">
        <v>164</v>
      </c>
      <c r="S15" s="1">
        <v>3349</v>
      </c>
      <c r="T15" s="1">
        <v>3541</v>
      </c>
      <c r="U15" s="1">
        <v>56795</v>
      </c>
      <c r="V15" s="1">
        <v>40158</v>
      </c>
      <c r="W15" s="1">
        <f t="shared" si="3"/>
        <v>214</v>
      </c>
      <c r="X15" s="1">
        <f t="shared" si="4"/>
        <v>6890</v>
      </c>
      <c r="Y15" s="1">
        <f t="shared" si="5"/>
        <v>96953</v>
      </c>
      <c r="Z15" s="1">
        <v>9.98</v>
      </c>
      <c r="AA15" s="1">
        <v>9.31</v>
      </c>
      <c r="AB15" s="1">
        <f t="shared" si="6"/>
        <v>9.6449999999999996</v>
      </c>
      <c r="AC15" s="1">
        <v>15.67</v>
      </c>
      <c r="AD15" s="1">
        <v>15.64</v>
      </c>
      <c r="AE15" s="1">
        <f t="shared" si="7"/>
        <v>15.655000000000001</v>
      </c>
      <c r="AF15" s="1">
        <f t="shared" si="7"/>
        <v>15.647500000000001</v>
      </c>
      <c r="AG15" s="1">
        <v>99.7</v>
      </c>
      <c r="AH15" s="1">
        <v>99.43</v>
      </c>
      <c r="AI15" s="1">
        <v>89.63</v>
      </c>
      <c r="AJ15" s="1">
        <v>56.41</v>
      </c>
      <c r="AK15" s="1">
        <v>1425</v>
      </c>
      <c r="AL15" s="1">
        <v>422</v>
      </c>
      <c r="AM15" s="1">
        <v>1847</v>
      </c>
      <c r="AN15" s="1">
        <v>14710</v>
      </c>
      <c r="AO15" s="1">
        <v>5653</v>
      </c>
      <c r="AP15" s="1">
        <v>20363</v>
      </c>
      <c r="AQ15" s="1">
        <v>195795</v>
      </c>
      <c r="AR15" s="1">
        <v>84163</v>
      </c>
      <c r="AS15" s="1">
        <v>279958</v>
      </c>
      <c r="AT15">
        <v>214</v>
      </c>
      <c r="AU15">
        <v>234</v>
      </c>
      <c r="AV15">
        <v>448</v>
      </c>
      <c r="AW15">
        <v>5667</v>
      </c>
      <c r="AX15">
        <v>3480</v>
      </c>
      <c r="AY15">
        <v>9147</v>
      </c>
      <c r="AZ15">
        <v>92678</v>
      </c>
      <c r="BA15">
        <v>41147</v>
      </c>
      <c r="BB15">
        <v>133825</v>
      </c>
    </row>
    <row r="16" spans="1:54" x14ac:dyDescent="0.25">
      <c r="A16" s="1" t="s">
        <v>15</v>
      </c>
      <c r="B16" s="1">
        <v>2021</v>
      </c>
      <c r="C16" s="1">
        <v>8.1850000000000005</v>
      </c>
      <c r="D16" s="1">
        <v>14.42</v>
      </c>
      <c r="E16" s="1">
        <v>10.995000000000001</v>
      </c>
      <c r="F16" s="1">
        <v>20.77</v>
      </c>
      <c r="G16" s="1">
        <v>37.36</v>
      </c>
      <c r="H16" s="1">
        <v>423</v>
      </c>
      <c r="I16" s="1">
        <v>1098</v>
      </c>
      <c r="J16" s="1">
        <v>18926</v>
      </c>
      <c r="K16" s="1">
        <v>13959</v>
      </c>
      <c r="L16" s="1">
        <v>340730</v>
      </c>
      <c r="M16" s="1">
        <v>196521</v>
      </c>
      <c r="N16" s="1">
        <f t="shared" si="0"/>
        <v>1521</v>
      </c>
      <c r="O16" s="1">
        <f t="shared" si="1"/>
        <v>32885</v>
      </c>
      <c r="P16" s="1">
        <f t="shared" si="2"/>
        <v>537251</v>
      </c>
      <c r="Q16" s="1">
        <v>297</v>
      </c>
      <c r="R16" s="1">
        <v>1834</v>
      </c>
      <c r="S16" s="1">
        <v>18937</v>
      </c>
      <c r="T16" s="1">
        <v>29103</v>
      </c>
      <c r="U16" s="1">
        <v>368701</v>
      </c>
      <c r="V16" s="1">
        <v>447665</v>
      </c>
      <c r="W16" s="1">
        <f t="shared" si="3"/>
        <v>2131</v>
      </c>
      <c r="X16" s="1">
        <f t="shared" si="4"/>
        <v>48040</v>
      </c>
      <c r="Y16" s="1">
        <f t="shared" si="5"/>
        <v>816366</v>
      </c>
      <c r="Z16" s="1">
        <v>8.33</v>
      </c>
      <c r="AA16" s="1">
        <v>7.45</v>
      </c>
      <c r="AB16" s="1">
        <f t="shared" si="6"/>
        <v>7.8900000000000006</v>
      </c>
      <c r="AC16" s="1">
        <v>13.25</v>
      </c>
      <c r="AD16" s="1">
        <v>13.47</v>
      </c>
      <c r="AE16" s="1">
        <f t="shared" si="7"/>
        <v>13.36</v>
      </c>
      <c r="AF16" s="1">
        <f t="shared" si="7"/>
        <v>13.414999999999999</v>
      </c>
      <c r="AG16" s="1">
        <v>99.4</v>
      </c>
      <c r="AH16" s="1">
        <v>97.76</v>
      </c>
      <c r="AI16" s="1">
        <v>74.14</v>
      </c>
      <c r="AJ16" s="1">
        <v>27.1</v>
      </c>
      <c r="AK16" s="1">
        <v>17105</v>
      </c>
      <c r="AL16" s="1">
        <v>1952</v>
      </c>
      <c r="AM16" s="1">
        <v>19057</v>
      </c>
      <c r="AN16" s="1">
        <v>161859</v>
      </c>
      <c r="AO16" s="1">
        <v>24764</v>
      </c>
      <c r="AP16" s="1">
        <v>186623</v>
      </c>
      <c r="AQ16" s="1">
        <v>2258842</v>
      </c>
      <c r="AR16" s="1">
        <v>392950</v>
      </c>
      <c r="AS16" s="1">
        <v>2651792</v>
      </c>
      <c r="AT16">
        <v>1729</v>
      </c>
      <c r="AU16">
        <v>3136</v>
      </c>
      <c r="AV16">
        <v>4865</v>
      </c>
      <c r="AW16">
        <v>49279</v>
      </c>
      <c r="AX16">
        <v>32467</v>
      </c>
      <c r="AY16">
        <v>81746</v>
      </c>
      <c r="AZ16">
        <v>829308</v>
      </c>
      <c r="BA16">
        <v>410719</v>
      </c>
      <c r="BB16">
        <v>1240027</v>
      </c>
    </row>
    <row r="17" spans="1:54" x14ac:dyDescent="0.25">
      <c r="A17" s="1" t="s">
        <v>16</v>
      </c>
      <c r="B17" s="1">
        <v>2021</v>
      </c>
      <c r="C17" s="1">
        <v>5.9849999999999994</v>
      </c>
      <c r="D17" s="1">
        <v>8.1050000000000004</v>
      </c>
      <c r="E17" s="1">
        <v>6.58</v>
      </c>
      <c r="F17" s="1">
        <v>26.52</v>
      </c>
      <c r="G17" s="1">
        <v>51.13</v>
      </c>
      <c r="H17" s="1">
        <v>152</v>
      </c>
      <c r="I17" s="1">
        <v>424</v>
      </c>
      <c r="J17" s="1">
        <v>6319</v>
      </c>
      <c r="K17" s="1">
        <v>4950</v>
      </c>
      <c r="L17" s="1">
        <v>135170</v>
      </c>
      <c r="M17" s="1">
        <v>76025</v>
      </c>
      <c r="N17" s="1">
        <f t="shared" si="0"/>
        <v>576</v>
      </c>
      <c r="O17" s="1">
        <f t="shared" si="1"/>
        <v>11269</v>
      </c>
      <c r="P17" s="1">
        <f t="shared" si="2"/>
        <v>211195</v>
      </c>
      <c r="Q17" s="1">
        <v>81</v>
      </c>
      <c r="R17" s="1">
        <v>653</v>
      </c>
      <c r="S17" s="1">
        <v>4171</v>
      </c>
      <c r="T17" s="1">
        <v>9360</v>
      </c>
      <c r="U17" s="1">
        <v>90570</v>
      </c>
      <c r="V17" s="1">
        <v>167865</v>
      </c>
      <c r="W17" s="1">
        <f t="shared" si="3"/>
        <v>734</v>
      </c>
      <c r="X17" s="1">
        <f t="shared" si="4"/>
        <v>13531</v>
      </c>
      <c r="Y17" s="1">
        <f t="shared" si="5"/>
        <v>258435</v>
      </c>
      <c r="Z17" s="1">
        <v>9.3699999999999992</v>
      </c>
      <c r="AA17" s="1">
        <v>8.4600000000000009</v>
      </c>
      <c r="AB17" s="1">
        <f t="shared" si="6"/>
        <v>8.9149999999999991</v>
      </c>
      <c r="AC17" s="1">
        <v>12.9</v>
      </c>
      <c r="AD17" s="1">
        <v>13.16</v>
      </c>
      <c r="AE17" s="1">
        <f t="shared" si="7"/>
        <v>13.030000000000001</v>
      </c>
      <c r="AF17" s="1">
        <f t="shared" si="7"/>
        <v>13.095000000000001</v>
      </c>
      <c r="AG17" s="1">
        <v>99.45</v>
      </c>
      <c r="AH17" s="1">
        <v>96.77</v>
      </c>
      <c r="AI17" s="1">
        <v>68.94</v>
      </c>
      <c r="AJ17" s="1">
        <v>23.54</v>
      </c>
      <c r="AK17" s="1">
        <v>3912</v>
      </c>
      <c r="AL17" s="1">
        <v>718</v>
      </c>
      <c r="AM17" s="1">
        <v>4630</v>
      </c>
      <c r="AN17" s="1">
        <v>44782</v>
      </c>
      <c r="AO17" s="1">
        <v>11465</v>
      </c>
      <c r="AP17" s="1">
        <v>56247</v>
      </c>
      <c r="AQ17" s="1">
        <v>993246</v>
      </c>
      <c r="AR17" s="1">
        <v>186646</v>
      </c>
      <c r="AS17" s="1">
        <v>1179892</v>
      </c>
      <c r="AT17">
        <v>573</v>
      </c>
      <c r="AU17">
        <v>994</v>
      </c>
      <c r="AV17">
        <v>1567</v>
      </c>
      <c r="AW17">
        <v>12849</v>
      </c>
      <c r="AX17">
        <v>10292</v>
      </c>
      <c r="AY17">
        <v>23141</v>
      </c>
      <c r="AZ17">
        <v>268113</v>
      </c>
      <c r="BA17">
        <v>169761</v>
      </c>
      <c r="BB17">
        <v>437874</v>
      </c>
    </row>
    <row r="18" spans="1:54" x14ac:dyDescent="0.25">
      <c r="A18" s="1" t="s">
        <v>17</v>
      </c>
      <c r="B18" s="1">
        <v>2021</v>
      </c>
      <c r="C18" s="1">
        <v>4.2249999999999996</v>
      </c>
      <c r="D18" s="1">
        <v>5.6</v>
      </c>
      <c r="E18" s="1">
        <v>4.625</v>
      </c>
      <c r="F18" s="1">
        <v>14.52</v>
      </c>
      <c r="G18" s="1">
        <v>42.9</v>
      </c>
      <c r="H18" s="1">
        <v>83</v>
      </c>
      <c r="I18" s="1">
        <v>75</v>
      </c>
      <c r="J18" s="1">
        <v>4194</v>
      </c>
      <c r="K18" s="1">
        <v>1218</v>
      </c>
      <c r="L18" s="1">
        <v>74671</v>
      </c>
      <c r="M18" s="1">
        <v>16264</v>
      </c>
      <c r="N18" s="1">
        <f t="shared" si="0"/>
        <v>158</v>
      </c>
      <c r="O18" s="1">
        <f t="shared" si="1"/>
        <v>5412</v>
      </c>
      <c r="P18" s="1">
        <f t="shared" si="2"/>
        <v>90935</v>
      </c>
      <c r="Q18" s="1">
        <v>53</v>
      </c>
      <c r="R18" s="1">
        <v>113</v>
      </c>
      <c r="S18" s="1">
        <v>3297</v>
      </c>
      <c r="T18" s="1">
        <v>2564</v>
      </c>
      <c r="U18" s="1">
        <v>55479</v>
      </c>
      <c r="V18" s="1">
        <v>41299</v>
      </c>
      <c r="W18" s="1">
        <f t="shared" si="3"/>
        <v>166</v>
      </c>
      <c r="X18" s="1">
        <f t="shared" si="4"/>
        <v>5861</v>
      </c>
      <c r="Y18" s="1">
        <f t="shared" si="5"/>
        <v>96778</v>
      </c>
      <c r="Z18" s="1">
        <v>9.76</v>
      </c>
      <c r="AA18" s="1">
        <v>8.36</v>
      </c>
      <c r="AB18" s="1">
        <f t="shared" si="6"/>
        <v>9.0599999999999987</v>
      </c>
      <c r="AC18" s="1">
        <v>13.49</v>
      </c>
      <c r="AD18" s="1">
        <v>13.37</v>
      </c>
      <c r="AE18" s="1">
        <f t="shared" si="7"/>
        <v>13.43</v>
      </c>
      <c r="AF18" s="1">
        <f t="shared" si="7"/>
        <v>13.399999999999999</v>
      </c>
      <c r="AG18" s="1">
        <v>99.7</v>
      </c>
      <c r="AH18" s="1">
        <v>98.22</v>
      </c>
      <c r="AI18" s="1">
        <v>83.96</v>
      </c>
      <c r="AJ18" s="1">
        <v>31.48</v>
      </c>
      <c r="AK18" s="1">
        <v>2274</v>
      </c>
      <c r="AL18" s="1">
        <v>143</v>
      </c>
      <c r="AM18" s="1">
        <v>2417</v>
      </c>
      <c r="AN18" s="1">
        <v>23059</v>
      </c>
      <c r="AO18" s="1">
        <v>2513</v>
      </c>
      <c r="AP18" s="1">
        <v>25572</v>
      </c>
      <c r="AQ18" s="1">
        <v>348481</v>
      </c>
      <c r="AR18" s="1">
        <v>39105</v>
      </c>
      <c r="AS18" s="1">
        <v>387586</v>
      </c>
      <c r="AT18">
        <v>272</v>
      </c>
      <c r="AU18">
        <v>136</v>
      </c>
      <c r="AV18">
        <v>408</v>
      </c>
      <c r="AW18">
        <v>9479</v>
      </c>
      <c r="AX18">
        <v>2027</v>
      </c>
      <c r="AY18">
        <v>11506</v>
      </c>
      <c r="AZ18">
        <v>160516</v>
      </c>
      <c r="BA18">
        <v>30536</v>
      </c>
      <c r="BB18">
        <v>191052</v>
      </c>
    </row>
    <row r="19" spans="1:54" x14ac:dyDescent="0.25">
      <c r="A19" s="1" t="s">
        <v>18</v>
      </c>
      <c r="B19" s="1">
        <v>2021</v>
      </c>
      <c r="C19" s="1">
        <v>14.73</v>
      </c>
      <c r="D19" s="1">
        <v>13.244999999999999</v>
      </c>
      <c r="E19" s="1">
        <v>13.984999999999999</v>
      </c>
      <c r="F19" s="1">
        <v>20.78</v>
      </c>
      <c r="G19" s="1">
        <v>26.11</v>
      </c>
      <c r="H19" s="1">
        <v>154</v>
      </c>
      <c r="I19" s="1">
        <v>179</v>
      </c>
      <c r="J19" s="1">
        <v>6754</v>
      </c>
      <c r="K19" s="1">
        <v>2093</v>
      </c>
      <c r="L19" s="1">
        <v>91365</v>
      </c>
      <c r="M19" s="1">
        <v>20023</v>
      </c>
      <c r="N19" s="1">
        <f t="shared" si="0"/>
        <v>333</v>
      </c>
      <c r="O19" s="1">
        <f t="shared" si="1"/>
        <v>8847</v>
      </c>
      <c r="P19" s="1">
        <f t="shared" si="2"/>
        <v>111388</v>
      </c>
      <c r="Q19" s="1">
        <v>99</v>
      </c>
      <c r="R19" s="1">
        <v>223</v>
      </c>
      <c r="S19" s="1">
        <v>4839</v>
      </c>
      <c r="T19" s="1">
        <v>2564</v>
      </c>
      <c r="U19" s="1">
        <v>63075</v>
      </c>
      <c r="V19" s="1">
        <v>23755</v>
      </c>
      <c r="W19" s="1">
        <f t="shared" si="3"/>
        <v>322</v>
      </c>
      <c r="X19" s="1">
        <f t="shared" si="4"/>
        <v>7403</v>
      </c>
      <c r="Y19" s="1">
        <f t="shared" si="5"/>
        <v>86830</v>
      </c>
      <c r="Z19" s="1">
        <v>8.15</v>
      </c>
      <c r="AA19" s="1">
        <v>6.66</v>
      </c>
      <c r="AB19" s="1">
        <f t="shared" si="6"/>
        <v>7.4050000000000002</v>
      </c>
      <c r="AC19" s="1">
        <v>14.08</v>
      </c>
      <c r="AD19" s="1">
        <v>13.84</v>
      </c>
      <c r="AE19" s="1">
        <f t="shared" si="7"/>
        <v>13.96</v>
      </c>
      <c r="AF19" s="1">
        <f t="shared" si="7"/>
        <v>13.9</v>
      </c>
      <c r="AG19" s="1">
        <v>99.52</v>
      </c>
      <c r="AH19" s="1">
        <v>98.34</v>
      </c>
      <c r="AI19" s="1">
        <v>77.489999999999995</v>
      </c>
      <c r="AJ19" s="1">
        <v>27.22</v>
      </c>
      <c r="AK19" s="1">
        <v>3012</v>
      </c>
      <c r="AL19" s="1">
        <v>257</v>
      </c>
      <c r="AM19" s="1">
        <v>3269</v>
      </c>
      <c r="AN19" s="1">
        <v>37229</v>
      </c>
      <c r="AO19" s="1">
        <v>2538</v>
      </c>
      <c r="AP19" s="1">
        <v>39767</v>
      </c>
      <c r="AQ19" s="1">
        <v>477686</v>
      </c>
      <c r="AR19" s="1">
        <v>33825</v>
      </c>
      <c r="AS19" s="1">
        <v>511511</v>
      </c>
      <c r="AT19">
        <v>605</v>
      </c>
      <c r="AU19">
        <v>384</v>
      </c>
      <c r="AV19">
        <v>989</v>
      </c>
      <c r="AW19">
        <v>16599</v>
      </c>
      <c r="AX19">
        <v>3770</v>
      </c>
      <c r="AY19">
        <v>20369</v>
      </c>
      <c r="AZ19">
        <v>136326</v>
      </c>
      <c r="BA19">
        <v>36298</v>
      </c>
      <c r="BB19">
        <v>172624</v>
      </c>
    </row>
    <row r="20" spans="1:54" x14ac:dyDescent="0.25">
      <c r="A20" s="1" t="s">
        <v>19</v>
      </c>
      <c r="B20" s="1">
        <v>2021</v>
      </c>
      <c r="C20" s="1">
        <v>8.5850000000000009</v>
      </c>
      <c r="D20" s="1">
        <v>24.75</v>
      </c>
      <c r="E20" s="1">
        <v>20.715</v>
      </c>
      <c r="F20" s="1">
        <v>18.97</v>
      </c>
      <c r="G20" s="1">
        <v>24.03</v>
      </c>
      <c r="H20" s="1">
        <v>370</v>
      </c>
      <c r="I20" s="1">
        <v>210</v>
      </c>
      <c r="J20" s="1">
        <v>10486</v>
      </c>
      <c r="K20" s="1">
        <v>4212</v>
      </c>
      <c r="L20" s="1">
        <v>141300</v>
      </c>
      <c r="M20" s="1">
        <v>62333</v>
      </c>
      <c r="N20" s="1">
        <f t="shared" si="0"/>
        <v>580</v>
      </c>
      <c r="O20" s="1">
        <f t="shared" si="1"/>
        <v>14698</v>
      </c>
      <c r="P20" s="1">
        <f t="shared" si="2"/>
        <v>203633</v>
      </c>
      <c r="Q20" s="1">
        <v>158</v>
      </c>
      <c r="R20" s="1">
        <v>154</v>
      </c>
      <c r="S20" s="1">
        <v>5262</v>
      </c>
      <c r="T20" s="1">
        <v>2855</v>
      </c>
      <c r="U20" s="1">
        <v>63022</v>
      </c>
      <c r="V20" s="1">
        <v>45522</v>
      </c>
      <c r="W20" s="1">
        <f t="shared" si="3"/>
        <v>312</v>
      </c>
      <c r="X20" s="1">
        <f t="shared" si="4"/>
        <v>8117</v>
      </c>
      <c r="Y20" s="1">
        <f t="shared" si="5"/>
        <v>108544</v>
      </c>
      <c r="Z20" s="1">
        <v>8.1199999999999992</v>
      </c>
      <c r="AA20" s="1">
        <v>7.29</v>
      </c>
      <c r="AB20" s="1">
        <f t="shared" si="6"/>
        <v>7.7050000000000001</v>
      </c>
      <c r="AC20" s="1">
        <v>13.09</v>
      </c>
      <c r="AD20" s="1">
        <v>13.52</v>
      </c>
      <c r="AE20" s="1">
        <f t="shared" si="7"/>
        <v>13.305</v>
      </c>
      <c r="AF20" s="1">
        <f t="shared" si="7"/>
        <v>13.4125</v>
      </c>
      <c r="AG20" s="1">
        <v>98.42</v>
      </c>
      <c r="AH20" s="1">
        <v>95.32</v>
      </c>
      <c r="AI20" s="1">
        <v>75.77</v>
      </c>
      <c r="AJ20" s="1">
        <v>32.409999999999997</v>
      </c>
      <c r="AK20" s="1">
        <v>3365</v>
      </c>
      <c r="AL20" s="1">
        <v>1819</v>
      </c>
      <c r="AM20" s="1">
        <v>5184</v>
      </c>
      <c r="AN20" s="1">
        <v>34638</v>
      </c>
      <c r="AO20" s="1">
        <v>17646</v>
      </c>
      <c r="AP20" s="1">
        <v>52284</v>
      </c>
      <c r="AQ20" s="1">
        <v>427555</v>
      </c>
      <c r="AR20" s="1">
        <v>255407</v>
      </c>
      <c r="AS20" s="1">
        <v>682962</v>
      </c>
      <c r="AT20">
        <v>1354</v>
      </c>
      <c r="AU20">
        <v>428</v>
      </c>
      <c r="AV20">
        <v>1782</v>
      </c>
      <c r="AW20">
        <v>22884</v>
      </c>
      <c r="AX20">
        <v>5818</v>
      </c>
      <c r="AY20">
        <v>28702</v>
      </c>
      <c r="AZ20">
        <v>265042</v>
      </c>
      <c r="BA20">
        <v>80180</v>
      </c>
      <c r="BB20">
        <v>345222</v>
      </c>
    </row>
    <row r="21" spans="1:54" x14ac:dyDescent="0.25">
      <c r="A21" s="1" t="s">
        <v>20</v>
      </c>
      <c r="B21" s="1">
        <v>2021</v>
      </c>
      <c r="C21" s="1">
        <v>4.6999999999999993</v>
      </c>
      <c r="D21" s="1">
        <v>8.2949999999999999</v>
      </c>
      <c r="E21" s="1">
        <v>6.9950000000000001</v>
      </c>
      <c r="F21" s="1">
        <v>24.74</v>
      </c>
      <c r="G21" s="1">
        <v>39.130000000000003</v>
      </c>
      <c r="H21" s="1">
        <v>267</v>
      </c>
      <c r="I21" s="1">
        <v>181</v>
      </c>
      <c r="J21" s="1">
        <v>5410</v>
      </c>
      <c r="K21" s="1">
        <v>2003</v>
      </c>
      <c r="L21" s="1">
        <v>100510</v>
      </c>
      <c r="M21" s="1">
        <v>30684</v>
      </c>
      <c r="N21" s="1">
        <f t="shared" si="0"/>
        <v>448</v>
      </c>
      <c r="O21" s="1">
        <f t="shared" si="1"/>
        <v>7413</v>
      </c>
      <c r="P21" s="1">
        <f t="shared" si="2"/>
        <v>131194</v>
      </c>
      <c r="Q21" s="1">
        <v>107</v>
      </c>
      <c r="R21" s="1">
        <v>114</v>
      </c>
      <c r="S21" s="1">
        <v>2927</v>
      </c>
      <c r="T21" s="1">
        <v>1456</v>
      </c>
      <c r="U21" s="1">
        <v>62165</v>
      </c>
      <c r="V21" s="1">
        <v>22181</v>
      </c>
      <c r="W21" s="1">
        <f t="shared" si="3"/>
        <v>221</v>
      </c>
      <c r="X21" s="1">
        <f t="shared" si="4"/>
        <v>4383</v>
      </c>
      <c r="Y21" s="1">
        <f t="shared" si="5"/>
        <v>84346</v>
      </c>
      <c r="Z21" s="1">
        <v>7.94</v>
      </c>
      <c r="AA21" s="1">
        <v>6.93</v>
      </c>
      <c r="AB21" s="1">
        <f t="shared" si="6"/>
        <v>7.4350000000000005</v>
      </c>
      <c r="AC21" s="1">
        <v>12.62</v>
      </c>
      <c r="AD21" s="1">
        <v>12.94</v>
      </c>
      <c r="AE21" s="1">
        <f t="shared" si="7"/>
        <v>12.78</v>
      </c>
      <c r="AF21" s="1">
        <f t="shared" si="7"/>
        <v>12.86</v>
      </c>
      <c r="AG21" s="1">
        <v>98.64</v>
      </c>
      <c r="AH21" s="1">
        <v>93.14</v>
      </c>
      <c r="AI21" s="1">
        <v>69.38</v>
      </c>
      <c r="AJ21" s="1">
        <v>26.08</v>
      </c>
      <c r="AK21" s="1">
        <v>4132</v>
      </c>
      <c r="AL21" s="1">
        <v>286</v>
      </c>
      <c r="AM21" s="1">
        <v>4418</v>
      </c>
      <c r="AN21" s="1">
        <v>34837</v>
      </c>
      <c r="AO21" s="1">
        <v>3169</v>
      </c>
      <c r="AP21" s="1">
        <v>38006</v>
      </c>
      <c r="AQ21" s="1">
        <v>512806</v>
      </c>
      <c r="AR21" s="1">
        <v>59158</v>
      </c>
      <c r="AS21" s="1">
        <v>571964</v>
      </c>
      <c r="AT21">
        <v>1018</v>
      </c>
      <c r="AU21">
        <v>333</v>
      </c>
      <c r="AV21">
        <v>1351</v>
      </c>
      <c r="AW21">
        <v>13779</v>
      </c>
      <c r="AX21">
        <v>2772</v>
      </c>
      <c r="AY21">
        <v>16551</v>
      </c>
      <c r="AZ21">
        <v>187216</v>
      </c>
      <c r="BA21">
        <v>43635</v>
      </c>
      <c r="BB21">
        <v>230851</v>
      </c>
    </row>
    <row r="22" spans="1:54" x14ac:dyDescent="0.25">
      <c r="A22" s="1" t="s">
        <v>21</v>
      </c>
      <c r="B22" s="1">
        <v>2021</v>
      </c>
      <c r="C22" s="1">
        <v>4.9700000000000006</v>
      </c>
      <c r="D22" s="1">
        <v>5.3049999999999997</v>
      </c>
      <c r="E22" s="1">
        <v>5.16</v>
      </c>
      <c r="F22" s="1">
        <v>23.92</v>
      </c>
      <c r="G22" s="1">
        <v>44.5</v>
      </c>
      <c r="H22" s="1">
        <v>181</v>
      </c>
      <c r="I22" s="1">
        <v>60</v>
      </c>
      <c r="J22" s="1">
        <v>4253</v>
      </c>
      <c r="K22" s="1">
        <v>651</v>
      </c>
      <c r="L22" s="1">
        <v>54893</v>
      </c>
      <c r="M22" s="1">
        <v>5741</v>
      </c>
      <c r="N22" s="1">
        <f t="shared" si="0"/>
        <v>241</v>
      </c>
      <c r="O22" s="1">
        <f t="shared" si="1"/>
        <v>4904</v>
      </c>
      <c r="P22" s="1">
        <f t="shared" si="2"/>
        <v>60634</v>
      </c>
      <c r="Q22" s="1">
        <v>93</v>
      </c>
      <c r="R22" s="1">
        <v>44</v>
      </c>
      <c r="S22" s="1">
        <v>2460</v>
      </c>
      <c r="T22" s="1">
        <v>622</v>
      </c>
      <c r="U22" s="1">
        <v>30495</v>
      </c>
      <c r="V22" s="1">
        <v>6322</v>
      </c>
      <c r="W22" s="1">
        <f t="shared" si="3"/>
        <v>137</v>
      </c>
      <c r="X22" s="1">
        <f t="shared" si="4"/>
        <v>3082</v>
      </c>
      <c r="Y22" s="1">
        <f t="shared" si="5"/>
        <v>36817</v>
      </c>
      <c r="Z22" s="1">
        <v>8.9600000000000009</v>
      </c>
      <c r="AA22" s="1">
        <v>8.2899999999999991</v>
      </c>
      <c r="AB22" s="1">
        <f t="shared" si="6"/>
        <v>8.625</v>
      </c>
      <c r="AC22" s="1">
        <v>12.85</v>
      </c>
      <c r="AD22" s="1">
        <v>12.67</v>
      </c>
      <c r="AE22" s="1">
        <f t="shared" si="7"/>
        <v>12.76</v>
      </c>
      <c r="AF22" s="1">
        <f t="shared" si="7"/>
        <v>12.715</v>
      </c>
      <c r="AG22" s="1">
        <v>99.55</v>
      </c>
      <c r="AH22" s="1">
        <v>95.21</v>
      </c>
      <c r="AI22" s="1">
        <v>66.7</v>
      </c>
      <c r="AJ22" s="1">
        <v>25.43</v>
      </c>
      <c r="AK22" s="1">
        <v>2416</v>
      </c>
      <c r="AL22" s="1">
        <v>223</v>
      </c>
      <c r="AM22" s="1">
        <v>2639</v>
      </c>
      <c r="AN22" s="1">
        <v>22784</v>
      </c>
      <c r="AO22" s="1">
        <v>2438</v>
      </c>
      <c r="AP22" s="1">
        <v>25222</v>
      </c>
      <c r="AQ22" s="1">
        <v>234534</v>
      </c>
      <c r="AR22" s="1">
        <v>41980</v>
      </c>
      <c r="AS22" s="1">
        <v>276514</v>
      </c>
      <c r="AT22">
        <v>708</v>
      </c>
      <c r="AU22">
        <v>137</v>
      </c>
      <c r="AV22">
        <v>845</v>
      </c>
      <c r="AW22">
        <v>8515</v>
      </c>
      <c r="AX22">
        <v>1351</v>
      </c>
      <c r="AY22">
        <v>9866</v>
      </c>
      <c r="AZ22">
        <v>89891</v>
      </c>
      <c r="BA22">
        <v>17901</v>
      </c>
      <c r="BB22">
        <v>107792</v>
      </c>
    </row>
    <row r="23" spans="1:54" x14ac:dyDescent="0.25">
      <c r="A23" s="1" t="s">
        <v>22</v>
      </c>
      <c r="B23" s="1">
        <v>2021</v>
      </c>
      <c r="C23" s="1">
        <v>3.85</v>
      </c>
      <c r="D23" s="1">
        <v>5.4950000000000001</v>
      </c>
      <c r="E23" s="1">
        <v>4.6950000000000003</v>
      </c>
      <c r="F23" s="1">
        <v>20.54</v>
      </c>
      <c r="G23" s="1">
        <v>40.369999999999997</v>
      </c>
      <c r="H23" s="1">
        <v>141</v>
      </c>
      <c r="I23" s="1">
        <v>61</v>
      </c>
      <c r="J23" s="1">
        <v>4094</v>
      </c>
      <c r="K23" s="1">
        <v>695</v>
      </c>
      <c r="L23" s="1">
        <v>59912</v>
      </c>
      <c r="M23" s="1">
        <v>7002</v>
      </c>
      <c r="N23" s="1">
        <f t="shared" si="0"/>
        <v>202</v>
      </c>
      <c r="O23" s="1">
        <f t="shared" si="1"/>
        <v>4789</v>
      </c>
      <c r="P23" s="1">
        <f t="shared" si="2"/>
        <v>66914</v>
      </c>
      <c r="Q23" s="1">
        <v>63</v>
      </c>
      <c r="R23" s="1">
        <v>64</v>
      </c>
      <c r="S23" s="1">
        <v>2889</v>
      </c>
      <c r="T23" s="1">
        <v>1150</v>
      </c>
      <c r="U23" s="1">
        <v>47437</v>
      </c>
      <c r="V23" s="1">
        <v>14078</v>
      </c>
      <c r="W23" s="1">
        <f t="shared" si="3"/>
        <v>127</v>
      </c>
      <c r="X23" s="1">
        <f t="shared" si="4"/>
        <v>4039</v>
      </c>
      <c r="Y23" s="1">
        <f t="shared" si="5"/>
        <v>61515</v>
      </c>
      <c r="Z23" s="1">
        <v>8.77</v>
      </c>
      <c r="AA23" s="1">
        <v>7.91</v>
      </c>
      <c r="AB23" s="1">
        <f t="shared" si="6"/>
        <v>8.34</v>
      </c>
      <c r="AC23" s="1">
        <v>12.78</v>
      </c>
      <c r="AD23" s="1">
        <v>12.81</v>
      </c>
      <c r="AE23" s="1">
        <f t="shared" si="7"/>
        <v>12.795</v>
      </c>
      <c r="AF23" s="1">
        <f t="shared" si="7"/>
        <v>12.8025</v>
      </c>
      <c r="AG23" s="1">
        <v>99.38</v>
      </c>
      <c r="AH23" s="1">
        <v>93.5</v>
      </c>
      <c r="AI23" s="1">
        <v>69.31</v>
      </c>
      <c r="AJ23" s="1">
        <v>27.64</v>
      </c>
      <c r="AK23" s="1">
        <v>2769</v>
      </c>
      <c r="AL23" s="1">
        <v>169</v>
      </c>
      <c r="AM23" s="1">
        <v>2938</v>
      </c>
      <c r="AN23" s="1">
        <v>27522</v>
      </c>
      <c r="AO23" s="1">
        <v>2350</v>
      </c>
      <c r="AP23" s="1">
        <v>29872</v>
      </c>
      <c r="AQ23" s="1">
        <v>332296</v>
      </c>
      <c r="AR23" s="1">
        <v>33661</v>
      </c>
      <c r="AS23" s="1">
        <v>365957</v>
      </c>
      <c r="AT23">
        <v>522</v>
      </c>
      <c r="AU23">
        <v>97</v>
      </c>
      <c r="AV23">
        <v>619</v>
      </c>
      <c r="AW23">
        <v>8263</v>
      </c>
      <c r="AX23">
        <v>1154</v>
      </c>
      <c r="AY23">
        <v>9417</v>
      </c>
      <c r="AZ23">
        <v>99185</v>
      </c>
      <c r="BA23">
        <v>13730</v>
      </c>
      <c r="BB23">
        <v>112915</v>
      </c>
    </row>
    <row r="24" spans="1:54" x14ac:dyDescent="0.25">
      <c r="A24" s="1" t="s">
        <v>23</v>
      </c>
      <c r="B24" s="1">
        <v>2021</v>
      </c>
      <c r="C24" s="1">
        <v>4.875</v>
      </c>
      <c r="D24" s="1">
        <v>9.75</v>
      </c>
      <c r="E24" s="1">
        <v>6.4049999999999994</v>
      </c>
      <c r="F24" s="1">
        <v>21.56</v>
      </c>
      <c r="G24" s="1">
        <v>53.51</v>
      </c>
      <c r="H24" s="1">
        <v>142</v>
      </c>
      <c r="I24" s="1">
        <v>86</v>
      </c>
      <c r="J24" s="1">
        <v>3941</v>
      </c>
      <c r="K24" s="1">
        <v>963</v>
      </c>
      <c r="L24" s="1">
        <v>65859</v>
      </c>
      <c r="M24" s="1">
        <v>12905</v>
      </c>
      <c r="N24" s="1">
        <f t="shared" si="0"/>
        <v>228</v>
      </c>
      <c r="O24" s="1">
        <f t="shared" si="1"/>
        <v>4904</v>
      </c>
      <c r="P24" s="1">
        <f t="shared" si="2"/>
        <v>78764</v>
      </c>
      <c r="Q24" s="1">
        <v>87</v>
      </c>
      <c r="R24" s="1">
        <v>131</v>
      </c>
      <c r="S24" s="1">
        <v>3300</v>
      </c>
      <c r="T24" s="1">
        <v>1886</v>
      </c>
      <c r="U24" s="1">
        <v>57403</v>
      </c>
      <c r="V24" s="1">
        <v>29088</v>
      </c>
      <c r="W24" s="1">
        <f t="shared" si="3"/>
        <v>218</v>
      </c>
      <c r="X24" s="1">
        <f t="shared" si="4"/>
        <v>5186</v>
      </c>
      <c r="Y24" s="1">
        <f t="shared" si="5"/>
        <v>86491</v>
      </c>
      <c r="Z24" s="1">
        <v>10.23</v>
      </c>
      <c r="AA24" s="1">
        <v>9.42</v>
      </c>
      <c r="AB24" s="1">
        <f t="shared" si="6"/>
        <v>9.8249999999999993</v>
      </c>
      <c r="AC24" s="1">
        <v>13.8</v>
      </c>
      <c r="AD24" s="1">
        <v>13.88</v>
      </c>
      <c r="AE24" s="1">
        <f t="shared" si="7"/>
        <v>13.84</v>
      </c>
      <c r="AF24" s="1">
        <f t="shared" si="7"/>
        <v>13.86</v>
      </c>
      <c r="AG24" s="1">
        <v>99.6</v>
      </c>
      <c r="AH24" s="1">
        <v>98.9</v>
      </c>
      <c r="AI24" s="1">
        <v>82.01</v>
      </c>
      <c r="AJ24" s="1">
        <v>33.450000000000003</v>
      </c>
      <c r="AK24" s="1">
        <v>1650</v>
      </c>
      <c r="AL24" s="1">
        <v>251</v>
      </c>
      <c r="AM24" s="1">
        <v>1901</v>
      </c>
      <c r="AN24" s="1">
        <v>22323</v>
      </c>
      <c r="AO24" s="1">
        <v>3546</v>
      </c>
      <c r="AP24" s="1">
        <v>25869</v>
      </c>
      <c r="AQ24" s="1">
        <v>347886</v>
      </c>
      <c r="AR24" s="1">
        <v>63435</v>
      </c>
      <c r="AS24" s="1">
        <v>411321</v>
      </c>
      <c r="AT24">
        <v>447</v>
      </c>
      <c r="AU24">
        <v>221</v>
      </c>
      <c r="AV24">
        <v>668</v>
      </c>
      <c r="AW24">
        <v>8593</v>
      </c>
      <c r="AX24">
        <v>2247</v>
      </c>
      <c r="AY24">
        <v>10840</v>
      </c>
      <c r="AZ24">
        <v>127778</v>
      </c>
      <c r="BA24">
        <v>32664</v>
      </c>
      <c r="BB24">
        <v>160442</v>
      </c>
    </row>
    <row r="25" spans="1:54" x14ac:dyDescent="0.25">
      <c r="A25" s="1" t="s">
        <v>24</v>
      </c>
      <c r="B25" s="1">
        <v>2021</v>
      </c>
      <c r="C25" s="1">
        <v>5.585</v>
      </c>
      <c r="D25" s="1">
        <v>9.5650000000000013</v>
      </c>
      <c r="E25" s="1">
        <v>7.0950000000000006</v>
      </c>
      <c r="F25" s="1">
        <v>19.8</v>
      </c>
      <c r="G25" s="1">
        <v>49.26</v>
      </c>
      <c r="H25" s="1">
        <v>44</v>
      </c>
      <c r="I25" s="1">
        <v>22</v>
      </c>
      <c r="J25" s="1">
        <v>1103</v>
      </c>
      <c r="K25" s="1">
        <v>240</v>
      </c>
      <c r="L25" s="1">
        <v>14828</v>
      </c>
      <c r="M25" s="1">
        <v>2834</v>
      </c>
      <c r="N25" s="1">
        <f t="shared" si="0"/>
        <v>66</v>
      </c>
      <c r="O25" s="1">
        <f t="shared" si="1"/>
        <v>1343</v>
      </c>
      <c r="P25" s="1">
        <f t="shared" si="2"/>
        <v>17662</v>
      </c>
      <c r="Q25" s="1">
        <v>21</v>
      </c>
      <c r="R25" s="1">
        <v>11</v>
      </c>
      <c r="S25" s="1">
        <v>714</v>
      </c>
      <c r="T25" s="1">
        <v>140</v>
      </c>
      <c r="U25" s="1">
        <v>10286</v>
      </c>
      <c r="V25" s="1">
        <v>1119</v>
      </c>
      <c r="W25" s="1">
        <f t="shared" si="3"/>
        <v>32</v>
      </c>
      <c r="X25" s="1">
        <f t="shared" si="4"/>
        <v>854</v>
      </c>
      <c r="Y25" s="1">
        <f t="shared" si="5"/>
        <v>11405</v>
      </c>
      <c r="Z25" s="1">
        <v>9.76</v>
      </c>
      <c r="AA25" s="1">
        <v>8.93</v>
      </c>
      <c r="AB25" s="1">
        <f t="shared" si="6"/>
        <v>9.3449999999999989</v>
      </c>
      <c r="AC25" s="1">
        <v>12.94</v>
      </c>
      <c r="AD25" s="1">
        <v>13.26</v>
      </c>
      <c r="AE25" s="1">
        <f t="shared" si="7"/>
        <v>13.1</v>
      </c>
      <c r="AF25" s="1">
        <f t="shared" si="7"/>
        <v>13.18</v>
      </c>
      <c r="AG25" s="1">
        <v>98.67</v>
      </c>
      <c r="AH25" s="1">
        <v>96.51</v>
      </c>
      <c r="AI25" s="1">
        <v>76.5</v>
      </c>
      <c r="AJ25" s="1">
        <v>27.5</v>
      </c>
      <c r="AK25" s="1">
        <v>435</v>
      </c>
      <c r="AL25" s="1">
        <v>46</v>
      </c>
      <c r="AM25" s="1">
        <v>481</v>
      </c>
      <c r="AN25" s="1">
        <v>5503</v>
      </c>
      <c r="AO25" s="1">
        <v>575</v>
      </c>
      <c r="AP25" s="1">
        <v>6078</v>
      </c>
      <c r="AQ25" s="1">
        <v>69898</v>
      </c>
      <c r="AR25" s="1">
        <v>8959</v>
      </c>
      <c r="AS25" s="1">
        <v>78857</v>
      </c>
      <c r="AT25">
        <v>153</v>
      </c>
      <c r="AU25">
        <v>33</v>
      </c>
      <c r="AV25">
        <v>186</v>
      </c>
      <c r="AW25">
        <v>2417</v>
      </c>
      <c r="AX25">
        <v>333</v>
      </c>
      <c r="AY25">
        <v>2750</v>
      </c>
      <c r="AZ25">
        <v>29669</v>
      </c>
      <c r="BA25">
        <v>3613</v>
      </c>
      <c r="BB25">
        <v>33282</v>
      </c>
    </row>
    <row r="26" spans="1:54" x14ac:dyDescent="0.25">
      <c r="A26" s="1" t="s">
        <v>25</v>
      </c>
      <c r="B26" s="1">
        <v>2021</v>
      </c>
      <c r="C26" s="1">
        <v>5.2249999999999996</v>
      </c>
      <c r="D26" s="1">
        <v>10.34</v>
      </c>
      <c r="E26" s="1">
        <v>7.5649999999999995</v>
      </c>
      <c r="F26" s="1">
        <v>29.43</v>
      </c>
      <c r="G26" s="1">
        <v>39.299999999999997</v>
      </c>
      <c r="H26" s="1">
        <v>121</v>
      </c>
      <c r="I26" s="1">
        <v>108</v>
      </c>
      <c r="J26" s="1">
        <v>3567</v>
      </c>
      <c r="K26" s="1">
        <v>1108</v>
      </c>
      <c r="L26" s="1">
        <v>48789</v>
      </c>
      <c r="M26" s="1">
        <v>14069</v>
      </c>
      <c r="N26" s="1">
        <f t="shared" si="0"/>
        <v>229</v>
      </c>
      <c r="O26" s="1">
        <f t="shared" si="1"/>
        <v>4675</v>
      </c>
      <c r="P26" s="1">
        <f t="shared" si="2"/>
        <v>62858</v>
      </c>
      <c r="Q26" s="1">
        <v>91</v>
      </c>
      <c r="R26" s="1">
        <v>96</v>
      </c>
      <c r="S26" s="1">
        <v>2977</v>
      </c>
      <c r="T26" s="1">
        <v>1319</v>
      </c>
      <c r="U26" s="1">
        <v>38050</v>
      </c>
      <c r="V26" s="1">
        <v>15174</v>
      </c>
      <c r="W26" s="1">
        <f t="shared" si="3"/>
        <v>187</v>
      </c>
      <c r="X26" s="1">
        <f t="shared" si="4"/>
        <v>4296</v>
      </c>
      <c r="Y26" s="1">
        <f t="shared" si="5"/>
        <v>53224</v>
      </c>
      <c r="Z26" s="1">
        <v>9.59</v>
      </c>
      <c r="AA26" s="1">
        <v>9.64</v>
      </c>
      <c r="AB26" s="1">
        <f t="shared" si="6"/>
        <v>9.6150000000000002</v>
      </c>
      <c r="AC26" s="1">
        <v>12.77</v>
      </c>
      <c r="AD26" s="1">
        <v>13.22</v>
      </c>
      <c r="AE26" s="1">
        <f t="shared" si="7"/>
        <v>12.995000000000001</v>
      </c>
      <c r="AF26" s="1">
        <f t="shared" si="7"/>
        <v>13.107500000000002</v>
      </c>
      <c r="AG26" s="1">
        <v>99.37</v>
      </c>
      <c r="AH26" s="1">
        <v>95.41</v>
      </c>
      <c r="AI26" s="1">
        <v>73.86</v>
      </c>
      <c r="AJ26" s="1">
        <v>24.59</v>
      </c>
      <c r="AK26" s="1">
        <v>1361</v>
      </c>
      <c r="AL26" s="1">
        <v>854</v>
      </c>
      <c r="AM26" s="1">
        <v>2215</v>
      </c>
      <c r="AN26" s="1">
        <v>12103</v>
      </c>
      <c r="AO26" s="1">
        <v>6158</v>
      </c>
      <c r="AP26" s="1">
        <v>18261</v>
      </c>
      <c r="AQ26" s="1">
        <v>131692</v>
      </c>
      <c r="AR26" s="1">
        <v>82847</v>
      </c>
      <c r="AS26" s="1">
        <v>214539</v>
      </c>
      <c r="AT26">
        <v>474</v>
      </c>
      <c r="AU26">
        <v>253</v>
      </c>
      <c r="AV26">
        <v>727</v>
      </c>
      <c r="AW26">
        <v>6971</v>
      </c>
      <c r="AX26">
        <v>2078</v>
      </c>
      <c r="AY26">
        <v>9049</v>
      </c>
      <c r="AZ26">
        <v>80137</v>
      </c>
      <c r="BA26">
        <v>27122</v>
      </c>
      <c r="BB26">
        <v>107259</v>
      </c>
    </row>
    <row r="27" spans="1:54" x14ac:dyDescent="0.25">
      <c r="A27" s="1" t="s">
        <v>26</v>
      </c>
      <c r="B27" s="1">
        <v>2021</v>
      </c>
      <c r="C27" s="1">
        <v>8.9849999999999994</v>
      </c>
      <c r="D27" s="1">
        <v>14.22</v>
      </c>
      <c r="E27" s="1">
        <v>12.59</v>
      </c>
      <c r="F27" s="1">
        <v>22.31</v>
      </c>
      <c r="G27" s="1">
        <v>32.68</v>
      </c>
      <c r="H27" s="1">
        <v>175</v>
      </c>
      <c r="I27" s="1">
        <v>52</v>
      </c>
      <c r="J27" s="1">
        <v>4576</v>
      </c>
      <c r="K27" s="1">
        <v>600</v>
      </c>
      <c r="L27" s="1">
        <v>73134</v>
      </c>
      <c r="M27" s="1">
        <v>6386</v>
      </c>
      <c r="N27" s="1">
        <f t="shared" si="0"/>
        <v>227</v>
      </c>
      <c r="O27" s="1">
        <f t="shared" si="1"/>
        <v>5176</v>
      </c>
      <c r="P27" s="1">
        <f t="shared" si="2"/>
        <v>79520</v>
      </c>
      <c r="Q27" s="1">
        <v>106</v>
      </c>
      <c r="R27" s="1">
        <v>78</v>
      </c>
      <c r="S27" s="1">
        <v>2849</v>
      </c>
      <c r="T27" s="1">
        <v>1032</v>
      </c>
      <c r="U27" s="1">
        <v>35101</v>
      </c>
      <c r="V27" s="1">
        <v>11400</v>
      </c>
      <c r="W27" s="1">
        <f t="shared" si="3"/>
        <v>184</v>
      </c>
      <c r="X27" s="1">
        <f t="shared" si="4"/>
        <v>3881</v>
      </c>
      <c r="Y27" s="1">
        <f t="shared" si="5"/>
        <v>46501</v>
      </c>
      <c r="Z27" s="1">
        <v>9.14</v>
      </c>
      <c r="AA27" s="1">
        <v>8.6199999999999992</v>
      </c>
      <c r="AB27" s="1">
        <f t="shared" si="6"/>
        <v>8.879999999999999</v>
      </c>
      <c r="AC27" s="1">
        <v>13.08</v>
      </c>
      <c r="AD27" s="1">
        <v>13.62</v>
      </c>
      <c r="AE27" s="1">
        <f t="shared" si="7"/>
        <v>13.35</v>
      </c>
      <c r="AF27" s="1">
        <f t="shared" si="7"/>
        <v>13.484999999999999</v>
      </c>
      <c r="AG27" s="1">
        <v>98.5</v>
      </c>
      <c r="AH27" s="1">
        <v>93.32</v>
      </c>
      <c r="AI27" s="1">
        <v>76.319999999999993</v>
      </c>
      <c r="AJ27" s="1">
        <v>30.14</v>
      </c>
      <c r="AK27" s="1">
        <v>2671</v>
      </c>
      <c r="AL27" s="1">
        <v>243</v>
      </c>
      <c r="AM27" s="1">
        <v>2914</v>
      </c>
      <c r="AN27" s="1">
        <v>24330</v>
      </c>
      <c r="AO27" s="1">
        <v>2135</v>
      </c>
      <c r="AP27" s="1">
        <v>26465</v>
      </c>
      <c r="AQ27" s="1">
        <v>281699</v>
      </c>
      <c r="AR27" s="1">
        <v>24711</v>
      </c>
      <c r="AS27" s="1">
        <v>306410</v>
      </c>
      <c r="AT27">
        <v>731</v>
      </c>
      <c r="AU27">
        <v>129</v>
      </c>
      <c r="AV27">
        <v>860</v>
      </c>
      <c r="AW27">
        <v>10419</v>
      </c>
      <c r="AX27">
        <v>1106</v>
      </c>
      <c r="AY27">
        <v>11525</v>
      </c>
      <c r="AZ27">
        <v>112116</v>
      </c>
      <c r="BA27">
        <v>11513</v>
      </c>
      <c r="BB27">
        <v>123629</v>
      </c>
    </row>
    <row r="28" spans="1:54" x14ac:dyDescent="0.25">
      <c r="A28" s="1" t="s">
        <v>27</v>
      </c>
      <c r="B28" s="1">
        <v>2021</v>
      </c>
      <c r="C28" s="1">
        <v>4.83</v>
      </c>
      <c r="D28" s="1">
        <v>11.8</v>
      </c>
      <c r="E28" s="1">
        <v>8.6549999999999994</v>
      </c>
      <c r="F28" s="1">
        <v>23.78</v>
      </c>
      <c r="G28" s="1">
        <v>36.76</v>
      </c>
      <c r="H28" s="1">
        <v>335</v>
      </c>
      <c r="I28" s="1">
        <v>260</v>
      </c>
      <c r="J28" s="1">
        <v>12451</v>
      </c>
      <c r="K28" s="1">
        <v>2653</v>
      </c>
      <c r="L28" s="1">
        <v>193797</v>
      </c>
      <c r="M28" s="1">
        <v>35918</v>
      </c>
      <c r="N28" s="1">
        <f t="shared" si="0"/>
        <v>595</v>
      </c>
      <c r="O28" s="1">
        <f t="shared" si="1"/>
        <v>15104</v>
      </c>
      <c r="P28" s="1">
        <f t="shared" si="2"/>
        <v>229715</v>
      </c>
      <c r="Q28" s="1">
        <v>169</v>
      </c>
      <c r="R28" s="1">
        <v>247</v>
      </c>
      <c r="S28" s="1">
        <v>7204</v>
      </c>
      <c r="T28" s="1">
        <v>3195</v>
      </c>
      <c r="U28" s="1">
        <v>98586</v>
      </c>
      <c r="V28" s="1">
        <v>36514</v>
      </c>
      <c r="W28" s="1">
        <f t="shared" si="3"/>
        <v>416</v>
      </c>
      <c r="X28" s="1">
        <f t="shared" si="4"/>
        <v>10399</v>
      </c>
      <c r="Y28" s="1">
        <f t="shared" si="5"/>
        <v>135100</v>
      </c>
      <c r="Z28" s="1">
        <v>8.74</v>
      </c>
      <c r="AA28" s="1">
        <v>8.1999999999999993</v>
      </c>
      <c r="AB28" s="1">
        <f t="shared" si="6"/>
        <v>8.4699999999999989</v>
      </c>
      <c r="AC28" s="1">
        <v>13.37</v>
      </c>
      <c r="AD28" s="1">
        <v>13.81</v>
      </c>
      <c r="AE28" s="1">
        <f t="shared" si="7"/>
        <v>13.59</v>
      </c>
      <c r="AF28" s="1">
        <f t="shared" si="7"/>
        <v>13.7</v>
      </c>
      <c r="AG28" s="1">
        <v>99.29</v>
      </c>
      <c r="AH28" s="1">
        <v>93.55</v>
      </c>
      <c r="AI28" s="1">
        <v>71.209999999999994</v>
      </c>
      <c r="AJ28" s="1">
        <v>35.799999999999997</v>
      </c>
      <c r="AK28" s="1">
        <v>6087</v>
      </c>
      <c r="AL28" s="1">
        <v>321</v>
      </c>
      <c r="AM28" s="1">
        <v>6408</v>
      </c>
      <c r="AN28" s="1">
        <v>64879</v>
      </c>
      <c r="AO28" s="1">
        <v>4395</v>
      </c>
      <c r="AP28" s="1">
        <v>69274</v>
      </c>
      <c r="AQ28" s="1">
        <v>817052</v>
      </c>
      <c r="AR28" s="1">
        <v>64431</v>
      </c>
      <c r="AS28" s="1">
        <v>881483</v>
      </c>
      <c r="AT28">
        <v>1265</v>
      </c>
      <c r="AU28">
        <v>429</v>
      </c>
      <c r="AV28">
        <v>1694</v>
      </c>
      <c r="AW28">
        <v>25755</v>
      </c>
      <c r="AX28">
        <v>4352</v>
      </c>
      <c r="AY28">
        <v>30107</v>
      </c>
      <c r="AZ28">
        <v>295626</v>
      </c>
      <c r="BA28">
        <v>54269</v>
      </c>
      <c r="BB28">
        <v>349895</v>
      </c>
    </row>
    <row r="29" spans="1:54" x14ac:dyDescent="0.25">
      <c r="A29" s="1" t="s">
        <v>28</v>
      </c>
      <c r="B29" s="1">
        <v>2021</v>
      </c>
      <c r="C29" s="1">
        <v>7.4</v>
      </c>
      <c r="D29" s="1">
        <v>14.115</v>
      </c>
      <c r="E29" s="1">
        <v>11.7</v>
      </c>
      <c r="F29" s="1">
        <v>19.87</v>
      </c>
      <c r="G29" s="1">
        <v>37.19</v>
      </c>
      <c r="H29" s="1">
        <v>245</v>
      </c>
      <c r="I29" s="1">
        <v>60</v>
      </c>
      <c r="J29" s="1">
        <v>6313</v>
      </c>
      <c r="K29" s="1">
        <v>521</v>
      </c>
      <c r="L29" s="1">
        <v>89174</v>
      </c>
      <c r="M29" s="1">
        <v>5293</v>
      </c>
      <c r="N29" s="1">
        <f t="shared" si="0"/>
        <v>305</v>
      </c>
      <c r="O29" s="1">
        <f t="shared" si="1"/>
        <v>6834</v>
      </c>
      <c r="P29" s="1">
        <f t="shared" si="2"/>
        <v>94467</v>
      </c>
      <c r="Q29" s="1">
        <v>102</v>
      </c>
      <c r="R29" s="1">
        <v>63</v>
      </c>
      <c r="S29" s="1">
        <v>2716</v>
      </c>
      <c r="T29" s="1">
        <v>722</v>
      </c>
      <c r="U29" s="1">
        <v>32677</v>
      </c>
      <c r="V29" s="1">
        <v>6355</v>
      </c>
      <c r="W29" s="1">
        <f t="shared" si="3"/>
        <v>165</v>
      </c>
      <c r="X29" s="1">
        <f t="shared" si="4"/>
        <v>3438</v>
      </c>
      <c r="Y29" s="1">
        <f t="shared" si="5"/>
        <v>39032</v>
      </c>
      <c r="Z29" s="1">
        <v>9.5500000000000007</v>
      </c>
      <c r="AA29" s="1">
        <v>8.7200000000000006</v>
      </c>
      <c r="AB29" s="1">
        <f t="shared" si="6"/>
        <v>9.1350000000000016</v>
      </c>
      <c r="AC29" s="1">
        <v>13.64</v>
      </c>
      <c r="AD29" s="1">
        <v>13.91</v>
      </c>
      <c r="AE29" s="1">
        <f t="shared" si="7"/>
        <v>13.775</v>
      </c>
      <c r="AF29" s="1">
        <f t="shared" si="7"/>
        <v>13.842500000000001</v>
      </c>
      <c r="AG29" s="1">
        <v>99.16</v>
      </c>
      <c r="AH29" s="1">
        <v>95.06</v>
      </c>
      <c r="AI29" s="1">
        <v>75.02</v>
      </c>
      <c r="AJ29" s="1">
        <v>33.64</v>
      </c>
      <c r="AK29" s="1">
        <v>2255</v>
      </c>
      <c r="AL29" s="1">
        <v>77</v>
      </c>
      <c r="AM29" s="1">
        <v>2332</v>
      </c>
      <c r="AN29" s="1">
        <v>23564</v>
      </c>
      <c r="AO29" s="1">
        <v>765</v>
      </c>
      <c r="AP29" s="1">
        <v>24329</v>
      </c>
      <c r="AQ29" s="1">
        <v>280749</v>
      </c>
      <c r="AR29" s="1">
        <v>11264</v>
      </c>
      <c r="AS29" s="1">
        <v>292013</v>
      </c>
      <c r="AT29">
        <v>691</v>
      </c>
      <c r="AU29">
        <v>83</v>
      </c>
      <c r="AV29">
        <v>774</v>
      </c>
      <c r="AW29">
        <v>11906</v>
      </c>
      <c r="AX29">
        <v>775</v>
      </c>
      <c r="AY29">
        <v>12681</v>
      </c>
      <c r="AZ29">
        <v>116819</v>
      </c>
      <c r="BA29">
        <v>8009</v>
      </c>
      <c r="BB29">
        <v>124828</v>
      </c>
    </row>
    <row r="30" spans="1:54" x14ac:dyDescent="0.25">
      <c r="A30" s="1" t="s">
        <v>29</v>
      </c>
      <c r="B30" s="1">
        <v>2021</v>
      </c>
      <c r="C30" s="1">
        <v>4.1449999999999996</v>
      </c>
      <c r="D30" s="1">
        <v>24.424999999999997</v>
      </c>
      <c r="E30" s="1">
        <v>15.51</v>
      </c>
      <c r="F30" s="1">
        <v>25.79</v>
      </c>
      <c r="G30" s="1">
        <v>37.61</v>
      </c>
      <c r="H30" s="1">
        <v>61</v>
      </c>
      <c r="I30" s="1">
        <v>8</v>
      </c>
      <c r="J30" s="1">
        <v>1815</v>
      </c>
      <c r="K30" s="1">
        <v>108</v>
      </c>
      <c r="L30" s="1">
        <v>30186</v>
      </c>
      <c r="M30" s="1">
        <v>1367</v>
      </c>
      <c r="N30" s="1">
        <f t="shared" si="0"/>
        <v>69</v>
      </c>
      <c r="O30" s="1">
        <f t="shared" si="1"/>
        <v>1923</v>
      </c>
      <c r="P30" s="1">
        <f t="shared" si="2"/>
        <v>31553</v>
      </c>
      <c r="Q30" s="1">
        <v>40</v>
      </c>
      <c r="R30" s="1">
        <v>18</v>
      </c>
      <c r="S30" s="1">
        <v>1489</v>
      </c>
      <c r="T30" s="1">
        <v>319</v>
      </c>
      <c r="U30" s="1">
        <v>17037</v>
      </c>
      <c r="V30" s="1">
        <v>2751</v>
      </c>
      <c r="W30" s="1">
        <f t="shared" si="3"/>
        <v>58</v>
      </c>
      <c r="X30" s="1">
        <f t="shared" si="4"/>
        <v>1808</v>
      </c>
      <c r="Y30" s="1">
        <f t="shared" si="5"/>
        <v>19788</v>
      </c>
      <c r="Z30" s="1">
        <v>7.58</v>
      </c>
      <c r="AA30" s="1">
        <v>8.2200000000000006</v>
      </c>
      <c r="AB30" s="1">
        <f t="shared" si="6"/>
        <v>7.9</v>
      </c>
      <c r="AC30" s="1">
        <v>12.81</v>
      </c>
      <c r="AD30" s="1">
        <v>13.79</v>
      </c>
      <c r="AE30" s="1">
        <f t="shared" si="7"/>
        <v>13.3</v>
      </c>
      <c r="AF30" s="1">
        <f t="shared" si="7"/>
        <v>13.545</v>
      </c>
      <c r="AG30" s="1">
        <v>99.02</v>
      </c>
      <c r="AH30" s="1">
        <v>92.05</v>
      </c>
      <c r="AI30" s="1">
        <v>71.3</v>
      </c>
      <c r="AJ30" s="1">
        <v>34.68</v>
      </c>
      <c r="AK30" s="1">
        <v>896</v>
      </c>
      <c r="AL30" s="1">
        <v>30</v>
      </c>
      <c r="AM30" s="1">
        <v>926</v>
      </c>
      <c r="AN30" s="1">
        <v>8016</v>
      </c>
      <c r="AO30" s="1">
        <v>265</v>
      </c>
      <c r="AP30" s="1">
        <v>8281</v>
      </c>
      <c r="AQ30" s="1">
        <v>105713</v>
      </c>
      <c r="AR30" s="1">
        <v>3788</v>
      </c>
      <c r="AS30" s="1">
        <v>109501</v>
      </c>
      <c r="AT30">
        <v>312</v>
      </c>
      <c r="AU30">
        <v>26</v>
      </c>
      <c r="AV30">
        <v>338</v>
      </c>
      <c r="AW30">
        <v>3882</v>
      </c>
      <c r="AX30">
        <v>226</v>
      </c>
      <c r="AY30">
        <v>4108</v>
      </c>
      <c r="AZ30">
        <v>43670</v>
      </c>
      <c r="BA30">
        <v>2589</v>
      </c>
      <c r="BB30">
        <v>46259</v>
      </c>
    </row>
    <row r="31" spans="1:54" x14ac:dyDescent="0.25">
      <c r="A31" s="1" t="s">
        <v>30</v>
      </c>
      <c r="B31" s="1">
        <v>2021</v>
      </c>
      <c r="C31" s="1">
        <v>9.77</v>
      </c>
      <c r="D31" s="1">
        <v>12.030000000000001</v>
      </c>
      <c r="E31" s="1">
        <v>11.57</v>
      </c>
      <c r="F31" s="1">
        <v>22.85</v>
      </c>
      <c r="G31" s="1">
        <v>27.2</v>
      </c>
      <c r="H31" s="1">
        <v>76</v>
      </c>
      <c r="I31" s="1">
        <v>12</v>
      </c>
      <c r="J31" s="1">
        <v>2078</v>
      </c>
      <c r="K31" s="1">
        <v>69</v>
      </c>
      <c r="L31" s="1">
        <v>28047</v>
      </c>
      <c r="M31" s="1">
        <v>1139</v>
      </c>
      <c r="N31" s="1">
        <f t="shared" si="0"/>
        <v>88</v>
      </c>
      <c r="O31" s="1">
        <f t="shared" si="1"/>
        <v>2147</v>
      </c>
      <c r="P31" s="1">
        <f t="shared" si="2"/>
        <v>29186</v>
      </c>
      <c r="Q31" s="1">
        <v>59</v>
      </c>
      <c r="R31" s="1">
        <v>72</v>
      </c>
      <c r="S31" s="1">
        <v>1756</v>
      </c>
      <c r="T31" s="1">
        <v>700</v>
      </c>
      <c r="U31" s="1">
        <v>21654</v>
      </c>
      <c r="V31" s="1">
        <v>7277</v>
      </c>
      <c r="W31" s="1">
        <f t="shared" si="3"/>
        <v>131</v>
      </c>
      <c r="X31" s="1">
        <f t="shared" si="4"/>
        <v>2456</v>
      </c>
      <c r="Y31" s="1">
        <f t="shared" si="5"/>
        <v>28931</v>
      </c>
      <c r="Z31" s="1">
        <v>8.26</v>
      </c>
      <c r="AA31" s="1">
        <v>7.66</v>
      </c>
      <c r="AB31" s="1">
        <f t="shared" si="6"/>
        <v>7.96</v>
      </c>
      <c r="AC31" s="1">
        <v>12.74</v>
      </c>
      <c r="AD31" s="1">
        <v>13.17</v>
      </c>
      <c r="AE31" s="1">
        <f t="shared" si="7"/>
        <v>12.955</v>
      </c>
      <c r="AF31" s="1">
        <f t="shared" si="7"/>
        <v>13.0625</v>
      </c>
      <c r="AG31" s="1">
        <v>98.19</v>
      </c>
      <c r="AH31" s="1">
        <v>90.12</v>
      </c>
      <c r="AI31" s="1">
        <v>71.22</v>
      </c>
      <c r="AJ31" s="1">
        <v>25.36</v>
      </c>
      <c r="AK31" s="1">
        <v>1297</v>
      </c>
      <c r="AL31" s="1">
        <v>28</v>
      </c>
      <c r="AM31" s="1">
        <v>1325</v>
      </c>
      <c r="AN31" s="1">
        <v>12872</v>
      </c>
      <c r="AO31" s="1">
        <v>251</v>
      </c>
      <c r="AP31" s="1">
        <v>13123</v>
      </c>
      <c r="AQ31" s="1">
        <v>140669</v>
      </c>
      <c r="AR31" s="1">
        <v>3971</v>
      </c>
      <c r="AS31" s="1">
        <v>144640</v>
      </c>
      <c r="AT31">
        <v>318</v>
      </c>
      <c r="AU31">
        <v>59</v>
      </c>
      <c r="AV31">
        <v>377</v>
      </c>
      <c r="AW31">
        <v>4941</v>
      </c>
      <c r="AX31">
        <v>458</v>
      </c>
      <c r="AY31">
        <v>5399</v>
      </c>
      <c r="AZ31">
        <v>51302</v>
      </c>
      <c r="BA31">
        <v>5200</v>
      </c>
      <c r="BB31">
        <v>56502</v>
      </c>
    </row>
    <row r="32" spans="1:54" x14ac:dyDescent="0.25">
      <c r="A32" s="1" t="s">
        <v>31</v>
      </c>
      <c r="B32" s="1">
        <v>2021</v>
      </c>
      <c r="C32" s="1">
        <v>6.21</v>
      </c>
      <c r="D32" s="1">
        <v>25.65</v>
      </c>
      <c r="E32" s="1">
        <v>17.085000000000001</v>
      </c>
      <c r="F32" s="1">
        <v>28.64</v>
      </c>
      <c r="G32" s="1">
        <v>35.590000000000003</v>
      </c>
      <c r="H32" s="1">
        <v>209</v>
      </c>
      <c r="I32" s="1">
        <v>73</v>
      </c>
      <c r="J32" s="1">
        <v>4908</v>
      </c>
      <c r="K32" s="1">
        <v>1201</v>
      </c>
      <c r="L32" s="1">
        <v>58221</v>
      </c>
      <c r="M32" s="1">
        <v>11982</v>
      </c>
      <c r="N32" s="1">
        <f t="shared" si="0"/>
        <v>282</v>
      </c>
      <c r="O32" s="1">
        <f t="shared" si="1"/>
        <v>6109</v>
      </c>
      <c r="P32" s="1">
        <f t="shared" si="2"/>
        <v>70203</v>
      </c>
      <c r="Q32" s="1">
        <v>82</v>
      </c>
      <c r="R32" s="1">
        <v>33</v>
      </c>
      <c r="S32" s="1">
        <v>2070</v>
      </c>
      <c r="T32" s="1">
        <v>570</v>
      </c>
      <c r="U32" s="1">
        <v>16965</v>
      </c>
      <c r="V32" s="1">
        <v>6248</v>
      </c>
      <c r="W32" s="1">
        <f t="shared" si="3"/>
        <v>115</v>
      </c>
      <c r="X32" s="1">
        <f t="shared" si="4"/>
        <v>2640</v>
      </c>
      <c r="Y32" s="1">
        <f t="shared" si="5"/>
        <v>23213</v>
      </c>
      <c r="Z32" s="1">
        <v>10.11</v>
      </c>
      <c r="AA32" s="1">
        <v>9.9499999999999993</v>
      </c>
      <c r="AB32" s="1">
        <f t="shared" si="6"/>
        <v>10.029999999999999</v>
      </c>
      <c r="AC32" s="1">
        <v>13.83</v>
      </c>
      <c r="AD32" s="1">
        <v>14.29</v>
      </c>
      <c r="AE32" s="1">
        <f t="shared" si="7"/>
        <v>14.059999999999999</v>
      </c>
      <c r="AF32" s="1">
        <f t="shared" si="7"/>
        <v>14.174999999999999</v>
      </c>
      <c r="AG32" s="1">
        <v>99.52</v>
      </c>
      <c r="AH32" s="1">
        <v>97.65</v>
      </c>
      <c r="AI32" s="1">
        <v>79.680000000000007</v>
      </c>
      <c r="AJ32" s="1">
        <v>40.97</v>
      </c>
      <c r="AK32" s="1">
        <v>1273</v>
      </c>
      <c r="AL32" s="1">
        <v>531</v>
      </c>
      <c r="AM32" s="1">
        <v>1804</v>
      </c>
      <c r="AN32" s="1">
        <v>13057</v>
      </c>
      <c r="AO32" s="1">
        <v>4275</v>
      </c>
      <c r="AP32" s="1">
        <v>17332</v>
      </c>
      <c r="AQ32" s="1">
        <v>149799</v>
      </c>
      <c r="AR32" s="1">
        <v>59529</v>
      </c>
      <c r="AS32" s="1">
        <v>209328</v>
      </c>
      <c r="AT32">
        <v>534</v>
      </c>
      <c r="AU32">
        <v>140</v>
      </c>
      <c r="AV32">
        <v>674</v>
      </c>
      <c r="AW32">
        <v>7939</v>
      </c>
      <c r="AX32">
        <v>1616</v>
      </c>
      <c r="AY32">
        <v>9555</v>
      </c>
      <c r="AZ32">
        <v>74124</v>
      </c>
      <c r="BA32">
        <v>17686</v>
      </c>
      <c r="BB32">
        <v>91810</v>
      </c>
    </row>
    <row r="33" spans="1:54" x14ac:dyDescent="0.25">
      <c r="A33" s="1" t="s">
        <v>32</v>
      </c>
      <c r="B33" s="1">
        <v>2021</v>
      </c>
      <c r="C33" s="1">
        <v>4.9800000000000004</v>
      </c>
      <c r="D33" s="1">
        <v>7.2949999999999999</v>
      </c>
      <c r="E33" s="1">
        <v>6.6349999999999998</v>
      </c>
      <c r="F33" s="1">
        <v>27.59</v>
      </c>
      <c r="G33" s="1">
        <v>36.44</v>
      </c>
      <c r="H33" s="1">
        <v>139</v>
      </c>
      <c r="I33" s="1">
        <v>76</v>
      </c>
      <c r="J33" s="1">
        <v>2731</v>
      </c>
      <c r="K33" s="1">
        <v>739</v>
      </c>
      <c r="L33" s="1">
        <v>34275</v>
      </c>
      <c r="M33" s="1">
        <v>8204</v>
      </c>
      <c r="N33" s="1">
        <f t="shared" si="0"/>
        <v>215</v>
      </c>
      <c r="O33" s="1">
        <f t="shared" si="1"/>
        <v>3470</v>
      </c>
      <c r="P33" s="1">
        <f t="shared" si="2"/>
        <v>42479</v>
      </c>
      <c r="Q33" s="1">
        <v>63</v>
      </c>
      <c r="R33" s="1">
        <v>83</v>
      </c>
      <c r="S33" s="1">
        <v>1154</v>
      </c>
      <c r="T33" s="1">
        <v>817</v>
      </c>
      <c r="U33" s="1">
        <v>10574</v>
      </c>
      <c r="V33" s="1">
        <v>8858</v>
      </c>
      <c r="W33" s="1">
        <f t="shared" si="3"/>
        <v>146</v>
      </c>
      <c r="X33" s="1">
        <f t="shared" si="4"/>
        <v>1971</v>
      </c>
      <c r="Y33" s="1">
        <f t="shared" si="5"/>
        <v>19432</v>
      </c>
      <c r="Z33" s="1">
        <v>9.5</v>
      </c>
      <c r="AA33" s="1">
        <v>8.67</v>
      </c>
      <c r="AB33" s="1">
        <f t="shared" si="6"/>
        <v>9.0850000000000009</v>
      </c>
      <c r="AC33" s="1">
        <v>13.73</v>
      </c>
      <c r="AD33" s="1">
        <v>13.68</v>
      </c>
      <c r="AE33" s="1">
        <f t="shared" si="7"/>
        <v>13.705</v>
      </c>
      <c r="AF33" s="1">
        <f t="shared" si="7"/>
        <v>13.692499999999999</v>
      </c>
      <c r="AG33" s="1">
        <v>98.84</v>
      </c>
      <c r="AH33" s="1">
        <v>97</v>
      </c>
      <c r="AI33" s="1">
        <v>77.010000000000005</v>
      </c>
      <c r="AJ33" s="1">
        <v>32.21</v>
      </c>
      <c r="AK33" s="1">
        <v>1106</v>
      </c>
      <c r="AL33" s="1">
        <v>204</v>
      </c>
      <c r="AM33" s="1">
        <v>1310</v>
      </c>
      <c r="AN33" s="1">
        <v>9831</v>
      </c>
      <c r="AO33" s="1">
        <v>1522</v>
      </c>
      <c r="AP33" s="1">
        <v>11353</v>
      </c>
      <c r="AQ33" s="1">
        <v>117453</v>
      </c>
      <c r="AR33" s="1">
        <v>22603</v>
      </c>
      <c r="AS33" s="1">
        <v>140056</v>
      </c>
      <c r="AT33">
        <v>363</v>
      </c>
      <c r="AU33">
        <v>139</v>
      </c>
      <c r="AV33">
        <v>502</v>
      </c>
      <c r="AW33">
        <v>5153</v>
      </c>
      <c r="AX33">
        <v>1229</v>
      </c>
      <c r="AY33">
        <v>6382</v>
      </c>
      <c r="AZ33">
        <v>46659</v>
      </c>
      <c r="BA33">
        <v>13687</v>
      </c>
      <c r="BB33">
        <v>60346</v>
      </c>
    </row>
    <row r="34" spans="1:54" x14ac:dyDescent="0.25">
      <c r="A34" s="1" t="s">
        <v>33</v>
      </c>
      <c r="B34" s="1">
        <v>2021</v>
      </c>
      <c r="C34" s="1">
        <f>6.47/2</f>
        <v>3.2349999999999999</v>
      </c>
      <c r="D34" s="1">
        <f>33.45/2</f>
        <v>16.725000000000001</v>
      </c>
      <c r="E34" s="1">
        <f>21.83/2</f>
        <v>10.914999999999999</v>
      </c>
      <c r="F34" s="1">
        <v>10.984999999999999</v>
      </c>
      <c r="G34" s="1">
        <v>21.04</v>
      </c>
      <c r="H34" s="1">
        <v>40.5</v>
      </c>
      <c r="I34" s="1">
        <v>24</v>
      </c>
      <c r="J34" s="1">
        <v>741.5</v>
      </c>
      <c r="K34" s="1">
        <v>346</v>
      </c>
      <c r="L34" s="1">
        <v>11188.5</v>
      </c>
      <c r="M34" s="1">
        <v>3495</v>
      </c>
      <c r="N34" s="1">
        <f t="shared" ref="N34:N65" si="8">H34+I34</f>
        <v>64.5</v>
      </c>
      <c r="O34" s="1">
        <f t="shared" ref="O34:O65" si="9">J34+K34</f>
        <v>1087.5</v>
      </c>
      <c r="P34" s="1">
        <f t="shared" ref="P34:P65" si="10">L34+M34</f>
        <v>14683.5</v>
      </c>
      <c r="Q34" s="1">
        <v>16.5</v>
      </c>
      <c r="R34" s="1">
        <v>12</v>
      </c>
      <c r="S34" s="1">
        <v>433</v>
      </c>
      <c r="T34" s="1">
        <v>188.5</v>
      </c>
      <c r="U34" s="1">
        <v>6119.5</v>
      </c>
      <c r="V34" s="1">
        <v>2362</v>
      </c>
      <c r="W34" s="1">
        <f t="shared" ref="W34:W65" si="11">Q34+R34</f>
        <v>28.5</v>
      </c>
      <c r="X34" s="1">
        <f t="shared" ref="X34:X65" si="12">S34+T34</f>
        <v>621.5</v>
      </c>
      <c r="Y34" s="1">
        <f t="shared" ref="Y34:Y65" si="13">U34+V34</f>
        <v>8481.5</v>
      </c>
      <c r="Z34" s="1">
        <v>5.21</v>
      </c>
      <c r="AA34" s="1">
        <v>3.7650000000000001</v>
      </c>
      <c r="AB34" s="1">
        <f t="shared" si="6"/>
        <v>4.4874999999999998</v>
      </c>
      <c r="AC34" s="1">
        <v>6.74</v>
      </c>
      <c r="AD34" s="1">
        <v>6.4649999999999999</v>
      </c>
      <c r="AE34" s="1">
        <f t="shared" si="7"/>
        <v>6.6025</v>
      </c>
      <c r="AF34" s="1">
        <f t="shared" si="7"/>
        <v>6.5337499999999995</v>
      </c>
      <c r="AG34" s="1">
        <v>49.04</v>
      </c>
      <c r="AH34" s="1">
        <v>48.424999999999997</v>
      </c>
      <c r="AI34" s="1">
        <v>40.604999999999997</v>
      </c>
      <c r="AJ34" s="1">
        <v>17.385000000000002</v>
      </c>
      <c r="AK34" s="1">
        <v>343</v>
      </c>
      <c r="AL34" s="1">
        <v>201</v>
      </c>
      <c r="AM34" s="1">
        <v>544</v>
      </c>
      <c r="AN34" s="1">
        <v>2848</v>
      </c>
      <c r="AO34" s="1">
        <v>1560.5</v>
      </c>
      <c r="AP34" s="1">
        <v>4408.5</v>
      </c>
      <c r="AQ34" s="1">
        <v>41311.5</v>
      </c>
      <c r="AR34" s="1">
        <v>23997</v>
      </c>
      <c r="AS34" s="1">
        <v>65308.5</v>
      </c>
      <c r="AT34">
        <v>114.5</v>
      </c>
      <c r="AU34">
        <v>47</v>
      </c>
      <c r="AV34">
        <v>161.5</v>
      </c>
      <c r="AW34">
        <v>1664.5</v>
      </c>
      <c r="AX34">
        <v>561</v>
      </c>
      <c r="AY34">
        <v>2225.5</v>
      </c>
      <c r="AZ34">
        <v>18198</v>
      </c>
      <c r="BA34">
        <v>6597.5</v>
      </c>
      <c r="BB34">
        <v>24795.5</v>
      </c>
    </row>
    <row r="35" spans="1:54" x14ac:dyDescent="0.25">
      <c r="A35" s="1" t="s">
        <v>34</v>
      </c>
      <c r="B35" s="1">
        <v>2021</v>
      </c>
      <c r="C35" s="1">
        <f>6.47/2</f>
        <v>3.2349999999999999</v>
      </c>
      <c r="D35" s="1">
        <f>33.45/2</f>
        <v>16.725000000000001</v>
      </c>
      <c r="E35" s="1">
        <f>21.83/2</f>
        <v>10.914999999999999</v>
      </c>
      <c r="F35" s="1">
        <v>10.984999999999999</v>
      </c>
      <c r="G35" s="1">
        <v>21.04</v>
      </c>
      <c r="H35" s="1">
        <v>40.5</v>
      </c>
      <c r="I35" s="1">
        <v>24</v>
      </c>
      <c r="J35" s="1">
        <v>741.5</v>
      </c>
      <c r="K35" s="1">
        <v>346</v>
      </c>
      <c r="L35" s="1">
        <v>11188.5</v>
      </c>
      <c r="M35" s="1">
        <v>3495</v>
      </c>
      <c r="N35" s="1">
        <f t="shared" si="8"/>
        <v>64.5</v>
      </c>
      <c r="O35" s="1">
        <f t="shared" si="9"/>
        <v>1087.5</v>
      </c>
      <c r="P35" s="1">
        <f t="shared" si="10"/>
        <v>14683.5</v>
      </c>
      <c r="Q35" s="1">
        <v>16.5</v>
      </c>
      <c r="R35" s="1">
        <v>12</v>
      </c>
      <c r="S35" s="1">
        <v>433</v>
      </c>
      <c r="T35" s="1">
        <v>188.5</v>
      </c>
      <c r="U35" s="1">
        <v>6119.5</v>
      </c>
      <c r="V35" s="1">
        <v>2362</v>
      </c>
      <c r="W35" s="1">
        <f t="shared" si="11"/>
        <v>28.5</v>
      </c>
      <c r="X35" s="1">
        <f t="shared" si="12"/>
        <v>621.5</v>
      </c>
      <c r="Y35" s="1">
        <f t="shared" si="13"/>
        <v>8481.5</v>
      </c>
      <c r="Z35" s="1">
        <v>5.21</v>
      </c>
      <c r="AA35" s="1">
        <v>3.7650000000000001</v>
      </c>
      <c r="AB35" s="1">
        <f t="shared" si="6"/>
        <v>4.4874999999999998</v>
      </c>
      <c r="AC35" s="1">
        <v>6.74</v>
      </c>
      <c r="AD35" s="1">
        <v>6.4649999999999999</v>
      </c>
      <c r="AE35" s="1">
        <f t="shared" si="7"/>
        <v>6.6025</v>
      </c>
      <c r="AF35" s="1">
        <f t="shared" si="7"/>
        <v>6.5337499999999995</v>
      </c>
      <c r="AG35" s="1">
        <v>49.04</v>
      </c>
      <c r="AH35" s="1">
        <v>48.424999999999997</v>
      </c>
      <c r="AI35" s="1">
        <v>40.604999999999997</v>
      </c>
      <c r="AJ35" s="1">
        <v>17.385000000000002</v>
      </c>
      <c r="AK35" s="1">
        <v>343</v>
      </c>
      <c r="AL35" s="1">
        <v>201</v>
      </c>
      <c r="AM35" s="1">
        <v>544</v>
      </c>
      <c r="AN35" s="1">
        <v>2848</v>
      </c>
      <c r="AO35" s="1">
        <v>1560.5</v>
      </c>
      <c r="AP35" s="1">
        <v>4408.5</v>
      </c>
      <c r="AQ35" s="1">
        <v>41311.5</v>
      </c>
      <c r="AR35" s="1">
        <v>23997</v>
      </c>
      <c r="AS35" s="1">
        <v>65308.5</v>
      </c>
      <c r="AT35">
        <v>114.5</v>
      </c>
      <c r="AU35">
        <v>47</v>
      </c>
      <c r="AV35">
        <v>161.5</v>
      </c>
      <c r="AW35">
        <v>1664.5</v>
      </c>
      <c r="AX35">
        <v>561</v>
      </c>
      <c r="AY35">
        <v>2225.5</v>
      </c>
      <c r="AZ35">
        <v>18198</v>
      </c>
      <c r="BA35">
        <v>6597.5</v>
      </c>
      <c r="BB35">
        <v>24795.5</v>
      </c>
    </row>
    <row r="36" spans="1:54" x14ac:dyDescent="0.25">
      <c r="A36" s="1" t="s">
        <v>35</v>
      </c>
      <c r="B36" s="1">
        <v>2021</v>
      </c>
      <c r="C36" s="1">
        <v>1.2312500000000002</v>
      </c>
      <c r="D36" s="1">
        <v>9.026250000000001</v>
      </c>
      <c r="E36" s="1">
        <v>6.7799999999999994</v>
      </c>
      <c r="F36" s="1">
        <v>4.6275000000000004</v>
      </c>
      <c r="G36" s="1">
        <v>4.8825000000000003</v>
      </c>
      <c r="H36" s="1">
        <v>35.25</v>
      </c>
      <c r="I36" s="1">
        <v>26.25</v>
      </c>
      <c r="J36" s="1">
        <v>760.75</v>
      </c>
      <c r="K36" s="1">
        <v>379.75</v>
      </c>
      <c r="L36" s="1">
        <v>12322</v>
      </c>
      <c r="M36" s="1">
        <v>5123</v>
      </c>
      <c r="N36" s="1">
        <f t="shared" si="8"/>
        <v>61.5</v>
      </c>
      <c r="O36" s="1">
        <f t="shared" si="9"/>
        <v>1140.5</v>
      </c>
      <c r="P36" s="1">
        <f t="shared" si="10"/>
        <v>17445</v>
      </c>
      <c r="Q36" s="1">
        <v>19.75</v>
      </c>
      <c r="R36" s="1">
        <v>15</v>
      </c>
      <c r="S36" s="1">
        <v>484.5</v>
      </c>
      <c r="T36" s="1">
        <v>246.5</v>
      </c>
      <c r="U36" s="1">
        <v>5916.25</v>
      </c>
      <c r="V36" s="1">
        <v>3356</v>
      </c>
      <c r="W36" s="1">
        <f t="shared" si="11"/>
        <v>34.75</v>
      </c>
      <c r="X36" s="1">
        <f t="shared" si="12"/>
        <v>731</v>
      </c>
      <c r="Y36" s="1">
        <f t="shared" si="13"/>
        <v>9272.25</v>
      </c>
      <c r="Z36" s="1">
        <v>1.86</v>
      </c>
      <c r="AA36" s="1">
        <v>1.5</v>
      </c>
      <c r="AB36" s="1">
        <f t="shared" si="6"/>
        <v>1.6800000000000002</v>
      </c>
      <c r="AC36" s="1">
        <v>2.8275000000000001</v>
      </c>
      <c r="AD36" s="1">
        <v>2.7475000000000001</v>
      </c>
      <c r="AE36" s="1">
        <f t="shared" si="7"/>
        <v>2.7875000000000001</v>
      </c>
      <c r="AF36" s="1">
        <f t="shared" si="7"/>
        <v>2.7675000000000001</v>
      </c>
      <c r="AG36" s="1">
        <v>20.857500000000002</v>
      </c>
      <c r="AH36" s="1">
        <v>20.004999999999999</v>
      </c>
      <c r="AI36" s="1">
        <v>15.994999999999999</v>
      </c>
      <c r="AJ36" s="1">
        <v>6.3150000000000004</v>
      </c>
      <c r="AK36" s="1">
        <v>407.25</v>
      </c>
      <c r="AL36" s="1">
        <v>241.75</v>
      </c>
      <c r="AM36" s="1">
        <v>649</v>
      </c>
      <c r="AN36" s="1">
        <v>2936.75</v>
      </c>
      <c r="AO36" s="1">
        <v>1814.25</v>
      </c>
      <c r="AP36" s="1">
        <v>4751</v>
      </c>
      <c r="AQ36" s="1">
        <v>69165.5</v>
      </c>
      <c r="AR36" s="1">
        <v>43724.25</v>
      </c>
      <c r="AS36" s="1">
        <v>112889.75</v>
      </c>
      <c r="AT36">
        <v>126.75</v>
      </c>
      <c r="AU36">
        <v>53.5</v>
      </c>
      <c r="AV36">
        <v>180.25</v>
      </c>
      <c r="AW36">
        <v>1717</v>
      </c>
      <c r="AX36">
        <v>551.25</v>
      </c>
      <c r="AY36">
        <v>2268.25</v>
      </c>
      <c r="AZ36">
        <v>25864.25</v>
      </c>
      <c r="BA36">
        <v>8894.25</v>
      </c>
      <c r="BB36">
        <v>34758.5</v>
      </c>
    </row>
    <row r="37" spans="1:54" x14ac:dyDescent="0.25">
      <c r="A37" s="1" t="s">
        <v>36</v>
      </c>
      <c r="B37" s="1">
        <v>2021</v>
      </c>
      <c r="C37" s="1">
        <v>1.2312500000000002</v>
      </c>
      <c r="D37" s="1">
        <v>9.026250000000001</v>
      </c>
      <c r="E37" s="1">
        <v>6.7799999999999994</v>
      </c>
      <c r="F37" s="1">
        <v>4.6275000000000004</v>
      </c>
      <c r="G37" s="1">
        <v>4.8825000000000003</v>
      </c>
      <c r="H37" s="1">
        <v>35.25</v>
      </c>
      <c r="I37" s="1">
        <v>26.25</v>
      </c>
      <c r="J37" s="1">
        <v>760.75</v>
      </c>
      <c r="K37" s="1">
        <v>379.75</v>
      </c>
      <c r="L37" s="1">
        <v>12322</v>
      </c>
      <c r="M37" s="1">
        <v>5123</v>
      </c>
      <c r="N37" s="1">
        <f t="shared" si="8"/>
        <v>61.5</v>
      </c>
      <c r="O37" s="1">
        <f t="shared" si="9"/>
        <v>1140.5</v>
      </c>
      <c r="P37" s="1">
        <f t="shared" si="10"/>
        <v>17445</v>
      </c>
      <c r="Q37" s="1">
        <v>19.75</v>
      </c>
      <c r="R37" s="1">
        <v>15</v>
      </c>
      <c r="S37" s="1">
        <v>484.5</v>
      </c>
      <c r="T37" s="1">
        <v>246.5</v>
      </c>
      <c r="U37" s="1">
        <v>5916.25</v>
      </c>
      <c r="V37" s="1">
        <v>3356</v>
      </c>
      <c r="W37" s="1">
        <f t="shared" si="11"/>
        <v>34.75</v>
      </c>
      <c r="X37" s="1">
        <f t="shared" si="12"/>
        <v>731</v>
      </c>
      <c r="Y37" s="1">
        <f t="shared" si="13"/>
        <v>9272.25</v>
      </c>
      <c r="Z37" s="1">
        <v>1.86</v>
      </c>
      <c r="AA37" s="1">
        <v>1.5</v>
      </c>
      <c r="AB37" s="1">
        <f t="shared" si="6"/>
        <v>1.6800000000000002</v>
      </c>
      <c r="AC37" s="1">
        <v>2.8275000000000001</v>
      </c>
      <c r="AD37" s="1">
        <v>2.7475000000000001</v>
      </c>
      <c r="AE37" s="1">
        <f t="shared" si="7"/>
        <v>2.7875000000000001</v>
      </c>
      <c r="AF37" s="1">
        <f t="shared" si="7"/>
        <v>2.7675000000000001</v>
      </c>
      <c r="AG37" s="1">
        <v>20.857500000000002</v>
      </c>
      <c r="AH37" s="1">
        <v>20.004999999999999</v>
      </c>
      <c r="AI37" s="1">
        <v>15.994999999999999</v>
      </c>
      <c r="AJ37" s="1">
        <v>6.3150000000000004</v>
      </c>
      <c r="AK37" s="1">
        <v>407.25</v>
      </c>
      <c r="AL37" s="1">
        <v>241.75</v>
      </c>
      <c r="AM37" s="1">
        <v>649</v>
      </c>
      <c r="AN37" s="1">
        <v>2936.75</v>
      </c>
      <c r="AO37" s="1">
        <v>1814.25</v>
      </c>
      <c r="AP37" s="1">
        <v>4751</v>
      </c>
      <c r="AQ37" s="1">
        <v>69165.5</v>
      </c>
      <c r="AR37" s="1">
        <v>43724.25</v>
      </c>
      <c r="AS37" s="1">
        <v>112889.75</v>
      </c>
      <c r="AT37">
        <v>126.75</v>
      </c>
      <c r="AU37">
        <v>53.5</v>
      </c>
      <c r="AV37">
        <v>180.25</v>
      </c>
      <c r="AW37">
        <v>1717</v>
      </c>
      <c r="AX37">
        <v>551.25</v>
      </c>
      <c r="AY37">
        <v>2268.25</v>
      </c>
      <c r="AZ37">
        <v>25864.25</v>
      </c>
      <c r="BA37">
        <v>8894.25</v>
      </c>
      <c r="BB37">
        <v>34758.5</v>
      </c>
    </row>
    <row r="38" spans="1:54" x14ac:dyDescent="0.25">
      <c r="A38" s="1" t="s">
        <v>37</v>
      </c>
      <c r="B38" s="1">
        <v>2021</v>
      </c>
      <c r="C38" s="1">
        <v>1.2312500000000002</v>
      </c>
      <c r="D38" s="1">
        <v>9.026250000000001</v>
      </c>
      <c r="E38" s="1">
        <v>6.7799999999999994</v>
      </c>
      <c r="F38" s="1">
        <v>4.6275000000000004</v>
      </c>
      <c r="G38" s="1">
        <v>4.8825000000000003</v>
      </c>
      <c r="H38" s="1">
        <v>35.25</v>
      </c>
      <c r="I38" s="1">
        <v>26.25</v>
      </c>
      <c r="J38" s="1">
        <v>760.75</v>
      </c>
      <c r="K38" s="1">
        <v>379.75</v>
      </c>
      <c r="L38" s="1">
        <v>12322</v>
      </c>
      <c r="M38" s="1">
        <v>5123</v>
      </c>
      <c r="N38" s="1">
        <f t="shared" si="8"/>
        <v>61.5</v>
      </c>
      <c r="O38" s="1">
        <f t="shared" si="9"/>
        <v>1140.5</v>
      </c>
      <c r="P38" s="1">
        <f t="shared" si="10"/>
        <v>17445</v>
      </c>
      <c r="Q38" s="1">
        <v>19.75</v>
      </c>
      <c r="R38" s="1">
        <v>15</v>
      </c>
      <c r="S38" s="1">
        <v>484.5</v>
      </c>
      <c r="T38" s="1">
        <v>246.5</v>
      </c>
      <c r="U38" s="1">
        <v>5916.25</v>
      </c>
      <c r="V38" s="1">
        <v>3356</v>
      </c>
      <c r="W38" s="1">
        <f t="shared" si="11"/>
        <v>34.75</v>
      </c>
      <c r="X38" s="1">
        <f t="shared" si="12"/>
        <v>731</v>
      </c>
      <c r="Y38" s="1">
        <f t="shared" si="13"/>
        <v>9272.25</v>
      </c>
      <c r="Z38" s="1">
        <v>1.86</v>
      </c>
      <c r="AA38" s="1">
        <v>1.5</v>
      </c>
      <c r="AB38" s="1">
        <f t="shared" si="6"/>
        <v>1.6800000000000002</v>
      </c>
      <c r="AC38" s="1">
        <v>2.8275000000000001</v>
      </c>
      <c r="AD38" s="1">
        <v>2.7475000000000001</v>
      </c>
      <c r="AE38" s="1">
        <f t="shared" si="7"/>
        <v>2.7875000000000001</v>
      </c>
      <c r="AF38" s="1">
        <f t="shared" si="7"/>
        <v>2.7675000000000001</v>
      </c>
      <c r="AG38" s="1">
        <v>20.857500000000002</v>
      </c>
      <c r="AH38" s="1">
        <v>20.004999999999999</v>
      </c>
      <c r="AI38" s="1">
        <v>15.994999999999999</v>
      </c>
      <c r="AJ38" s="1">
        <v>6.3150000000000004</v>
      </c>
      <c r="AK38" s="1">
        <v>407.25</v>
      </c>
      <c r="AL38" s="1">
        <v>241.75</v>
      </c>
      <c r="AM38" s="1">
        <v>649</v>
      </c>
      <c r="AN38" s="1">
        <v>2936.75</v>
      </c>
      <c r="AO38" s="1">
        <v>1814.25</v>
      </c>
      <c r="AP38" s="1">
        <v>4751</v>
      </c>
      <c r="AQ38" s="1">
        <v>69165.5</v>
      </c>
      <c r="AR38" s="1">
        <v>43724.25</v>
      </c>
      <c r="AS38" s="1">
        <v>112889.75</v>
      </c>
      <c r="AT38">
        <v>126.75</v>
      </c>
      <c r="AU38">
        <v>53.5</v>
      </c>
      <c r="AV38">
        <v>180.25</v>
      </c>
      <c r="AW38">
        <v>1717</v>
      </c>
      <c r="AX38">
        <v>551.25</v>
      </c>
      <c r="AY38">
        <v>2268.25</v>
      </c>
      <c r="AZ38">
        <v>25864.25</v>
      </c>
      <c r="BA38">
        <v>8894.25</v>
      </c>
      <c r="BB38">
        <v>34758.5</v>
      </c>
    </row>
    <row r="39" spans="1:54" x14ac:dyDescent="0.25">
      <c r="A39" s="1" t="s">
        <v>38</v>
      </c>
      <c r="B39" s="1">
        <v>2021</v>
      </c>
      <c r="C39" s="1">
        <v>1.2312500000000002</v>
      </c>
      <c r="D39" s="1">
        <v>9.026250000000001</v>
      </c>
      <c r="E39" s="1">
        <v>6.7799999999999994</v>
      </c>
      <c r="F39" s="1">
        <v>4.6275000000000004</v>
      </c>
      <c r="G39" s="1">
        <v>4.8825000000000003</v>
      </c>
      <c r="H39" s="1">
        <v>35.25</v>
      </c>
      <c r="I39" s="1">
        <v>26.25</v>
      </c>
      <c r="J39" s="1">
        <v>760.75</v>
      </c>
      <c r="K39" s="1">
        <v>379.75</v>
      </c>
      <c r="L39" s="1">
        <v>12322</v>
      </c>
      <c r="M39" s="1">
        <v>5123</v>
      </c>
      <c r="N39" s="1">
        <f t="shared" si="8"/>
        <v>61.5</v>
      </c>
      <c r="O39" s="1">
        <f t="shared" si="9"/>
        <v>1140.5</v>
      </c>
      <c r="P39" s="1">
        <f t="shared" si="10"/>
        <v>17445</v>
      </c>
      <c r="Q39" s="1">
        <v>19.75</v>
      </c>
      <c r="R39" s="1">
        <v>15</v>
      </c>
      <c r="S39" s="1">
        <v>484.5</v>
      </c>
      <c r="T39" s="1">
        <v>246.5</v>
      </c>
      <c r="U39" s="1">
        <v>5916.25</v>
      </c>
      <c r="V39" s="1">
        <v>3356</v>
      </c>
      <c r="W39" s="1">
        <f t="shared" si="11"/>
        <v>34.75</v>
      </c>
      <c r="X39" s="1">
        <f t="shared" si="12"/>
        <v>731</v>
      </c>
      <c r="Y39" s="1">
        <f t="shared" si="13"/>
        <v>9272.25</v>
      </c>
      <c r="Z39" s="1">
        <v>1.86</v>
      </c>
      <c r="AA39" s="1">
        <v>1.5</v>
      </c>
      <c r="AB39" s="1">
        <f t="shared" si="6"/>
        <v>1.6800000000000002</v>
      </c>
      <c r="AC39" s="1">
        <v>2.8275000000000001</v>
      </c>
      <c r="AD39" s="1">
        <v>2.7475000000000001</v>
      </c>
      <c r="AE39" s="1">
        <f t="shared" si="7"/>
        <v>2.7875000000000001</v>
      </c>
      <c r="AF39" s="1">
        <f t="shared" si="7"/>
        <v>2.7675000000000001</v>
      </c>
      <c r="AG39" s="1">
        <v>20.857500000000002</v>
      </c>
      <c r="AH39" s="1">
        <v>20.004999999999999</v>
      </c>
      <c r="AI39" s="1">
        <v>15.994999999999999</v>
      </c>
      <c r="AJ39" s="1">
        <v>6.3150000000000004</v>
      </c>
      <c r="AK39" s="1">
        <v>407.25</v>
      </c>
      <c r="AL39" s="1">
        <v>241.75</v>
      </c>
      <c r="AM39" s="1">
        <v>649</v>
      </c>
      <c r="AN39" s="1">
        <v>2936.75</v>
      </c>
      <c r="AO39" s="1">
        <v>1814.25</v>
      </c>
      <c r="AP39" s="1">
        <v>4751</v>
      </c>
      <c r="AQ39" s="1">
        <v>69165.5</v>
      </c>
      <c r="AR39" s="1">
        <v>43724.25</v>
      </c>
      <c r="AS39" s="1">
        <v>112889.75</v>
      </c>
      <c r="AT39">
        <v>126.75</v>
      </c>
      <c r="AU39">
        <v>53.5</v>
      </c>
      <c r="AV39">
        <v>180.25</v>
      </c>
      <c r="AW39">
        <v>1717</v>
      </c>
      <c r="AX39">
        <v>551.25</v>
      </c>
      <c r="AY39">
        <v>2268.25</v>
      </c>
      <c r="AZ39">
        <v>25864.25</v>
      </c>
      <c r="BA39">
        <v>8894.25</v>
      </c>
      <c r="BB39">
        <v>34758.5</v>
      </c>
    </row>
    <row r="40" spans="1:54" x14ac:dyDescent="0.25">
      <c r="A40" s="1" t="s">
        <v>39</v>
      </c>
      <c r="B40" s="1">
        <v>2021</v>
      </c>
      <c r="C40" s="1">
        <v>7.7449999999999992</v>
      </c>
      <c r="D40" s="1">
        <v>12.815</v>
      </c>
      <c r="E40" s="1">
        <v>9.9250000000000007</v>
      </c>
      <c r="F40" s="1">
        <v>22.4</v>
      </c>
      <c r="G40" s="1">
        <v>40.549999999999997</v>
      </c>
      <c r="H40" s="1">
        <v>6934</v>
      </c>
      <c r="I40" s="1">
        <v>7061</v>
      </c>
      <c r="J40" s="1">
        <v>234403</v>
      </c>
      <c r="K40" s="1">
        <v>92119</v>
      </c>
      <c r="L40" s="1">
        <v>3768619</v>
      </c>
      <c r="M40" s="1">
        <v>1326724</v>
      </c>
      <c r="N40" s="1">
        <f t="shared" si="8"/>
        <v>13995</v>
      </c>
      <c r="O40" s="1">
        <f t="shared" si="9"/>
        <v>326522</v>
      </c>
      <c r="P40" s="1">
        <f t="shared" si="10"/>
        <v>5095343</v>
      </c>
      <c r="Q40" s="1">
        <v>3663</v>
      </c>
      <c r="R40" s="1">
        <v>10535</v>
      </c>
      <c r="S40" s="1">
        <v>157916</v>
      </c>
      <c r="T40" s="1">
        <v>175229</v>
      </c>
      <c r="U40" s="1">
        <v>2548799</v>
      </c>
      <c r="V40" s="1">
        <v>2844139</v>
      </c>
      <c r="W40" s="1">
        <f t="shared" si="11"/>
        <v>14198</v>
      </c>
      <c r="X40" s="1">
        <f t="shared" si="12"/>
        <v>333145</v>
      </c>
      <c r="Y40" s="1">
        <f t="shared" si="13"/>
        <v>5392938</v>
      </c>
      <c r="Z40" s="1">
        <v>8.92</v>
      </c>
      <c r="AA40" s="1">
        <v>8.17</v>
      </c>
      <c r="AB40" s="1">
        <f t="shared" si="6"/>
        <v>8.5449999999999999</v>
      </c>
      <c r="AC40" s="1">
        <v>12.95</v>
      </c>
      <c r="AD40" s="1">
        <v>13.22</v>
      </c>
      <c r="AE40" s="1">
        <f t="shared" si="7"/>
        <v>13.085000000000001</v>
      </c>
      <c r="AF40" s="1">
        <f t="shared" si="7"/>
        <v>13.1525</v>
      </c>
      <c r="AG40" s="1">
        <v>99.19</v>
      </c>
      <c r="AH40" s="1">
        <v>95.99</v>
      </c>
      <c r="AI40" s="1">
        <v>73.09</v>
      </c>
      <c r="AJ40" s="1">
        <v>27.72</v>
      </c>
      <c r="AK40" s="1">
        <v>130624</v>
      </c>
      <c r="AL40" s="1">
        <v>18239</v>
      </c>
      <c r="AM40" s="1">
        <v>148863</v>
      </c>
      <c r="AN40" s="1">
        <v>1347901</v>
      </c>
      <c r="AO40" s="1">
        <v>226570</v>
      </c>
      <c r="AP40" s="1">
        <v>1574471</v>
      </c>
      <c r="AQ40" s="1">
        <v>20690002</v>
      </c>
      <c r="AR40" s="1">
        <v>3641754</v>
      </c>
      <c r="AS40" s="1">
        <v>24331756</v>
      </c>
      <c r="AT40">
        <v>23751</v>
      </c>
      <c r="AU40">
        <v>17592</v>
      </c>
      <c r="AV40">
        <v>41343</v>
      </c>
      <c r="AW40">
        <v>508641</v>
      </c>
      <c r="AX40">
        <v>192101</v>
      </c>
      <c r="AY40">
        <v>700742</v>
      </c>
      <c r="AZ40">
        <v>7323910</v>
      </c>
      <c r="BA40">
        <v>2740016</v>
      </c>
      <c r="BB40">
        <v>10063926</v>
      </c>
    </row>
    <row r="41" spans="1:54" x14ac:dyDescent="0.25">
      <c r="A41" s="1" t="s">
        <v>1</v>
      </c>
      <c r="B41" s="1">
        <v>2022</v>
      </c>
      <c r="C41" s="1">
        <v>10.33</v>
      </c>
      <c r="D41" s="1">
        <v>16.965</v>
      </c>
      <c r="E41" s="1">
        <v>14.695</v>
      </c>
      <c r="F41" s="1">
        <v>28.99</v>
      </c>
      <c r="G41" s="1">
        <v>38.549999999999997</v>
      </c>
      <c r="H41" s="1">
        <v>394</v>
      </c>
      <c r="I41" s="1">
        <v>141</v>
      </c>
      <c r="J41" s="1">
        <v>12195</v>
      </c>
      <c r="K41" s="1">
        <v>1677</v>
      </c>
      <c r="L41" s="1">
        <v>112810</v>
      </c>
      <c r="M41" s="1">
        <v>18461</v>
      </c>
      <c r="N41" s="1">
        <f t="shared" si="8"/>
        <v>535</v>
      </c>
      <c r="O41" s="1">
        <f t="shared" si="9"/>
        <v>13872</v>
      </c>
      <c r="P41" s="1">
        <f t="shared" si="10"/>
        <v>131271</v>
      </c>
      <c r="Q41" s="1">
        <v>153</v>
      </c>
      <c r="R41" s="1">
        <v>67</v>
      </c>
      <c r="S41" s="1">
        <v>6124</v>
      </c>
      <c r="T41" s="1">
        <v>784</v>
      </c>
      <c r="U41" s="1">
        <v>45444</v>
      </c>
      <c r="V41" s="1">
        <v>7495</v>
      </c>
      <c r="W41" s="1">
        <f t="shared" si="11"/>
        <v>220</v>
      </c>
      <c r="X41" s="1">
        <f t="shared" si="12"/>
        <v>6908</v>
      </c>
      <c r="Y41" s="1">
        <f t="shared" si="13"/>
        <v>52939</v>
      </c>
      <c r="Z41" s="1">
        <v>9.66</v>
      </c>
      <c r="AA41" s="1">
        <v>9.24</v>
      </c>
      <c r="AB41" s="1">
        <f>(Z41+AA41)/2</f>
        <v>9.4499999999999993</v>
      </c>
      <c r="AC41" s="1">
        <v>14.27</v>
      </c>
      <c r="AD41" s="1">
        <v>14.54</v>
      </c>
      <c r="AE41" s="1">
        <f>(AC41+AD41)/2</f>
        <v>14.404999999999999</v>
      </c>
      <c r="AF41" s="1">
        <f>(AD41+AE41)/2</f>
        <v>14.4725</v>
      </c>
      <c r="AG41" s="1">
        <v>99.44</v>
      </c>
      <c r="AH41" s="1">
        <v>97.96</v>
      </c>
      <c r="AI41" s="1">
        <v>83.1</v>
      </c>
      <c r="AJ41" s="1">
        <v>34.31</v>
      </c>
      <c r="AK41" s="1">
        <v>3336</v>
      </c>
      <c r="AL41" s="1">
        <v>193</v>
      </c>
      <c r="AM41" s="1">
        <v>3529</v>
      </c>
      <c r="AN41" s="1">
        <v>45823</v>
      </c>
      <c r="AO41" s="1">
        <v>2718</v>
      </c>
      <c r="AP41" s="1">
        <v>48541</v>
      </c>
      <c r="AQ41" s="1">
        <v>451027</v>
      </c>
      <c r="AR41" s="1">
        <v>35931</v>
      </c>
      <c r="AS41" s="1">
        <v>486958</v>
      </c>
      <c r="AT41">
        <v>902</v>
      </c>
      <c r="AU41">
        <v>359</v>
      </c>
      <c r="AV41">
        <v>1261</v>
      </c>
      <c r="AW41">
        <v>20215</v>
      </c>
      <c r="AX41">
        <v>3789</v>
      </c>
      <c r="AY41">
        <v>24004</v>
      </c>
      <c r="AZ41">
        <v>153499</v>
      </c>
      <c r="BA41">
        <v>46589</v>
      </c>
      <c r="BB41">
        <v>200088</v>
      </c>
    </row>
    <row r="42" spans="1:54" x14ac:dyDescent="0.25">
      <c r="A42" s="1" t="s">
        <v>2</v>
      </c>
      <c r="B42" s="1">
        <v>2022</v>
      </c>
      <c r="C42" s="1">
        <v>8.6950000000000003</v>
      </c>
      <c r="D42" s="1">
        <v>7.9700000000000006</v>
      </c>
      <c r="E42" s="1">
        <v>8.375</v>
      </c>
      <c r="F42" s="1">
        <v>20.71</v>
      </c>
      <c r="G42" s="1">
        <v>40.93</v>
      </c>
      <c r="H42" s="1">
        <v>428</v>
      </c>
      <c r="I42" s="1">
        <v>647</v>
      </c>
      <c r="J42" s="1">
        <v>15908</v>
      </c>
      <c r="K42" s="1">
        <v>8224</v>
      </c>
      <c r="L42" s="1">
        <v>245383</v>
      </c>
      <c r="M42" s="1">
        <v>139560</v>
      </c>
      <c r="N42" s="1">
        <f t="shared" si="8"/>
        <v>1075</v>
      </c>
      <c r="O42" s="1">
        <f t="shared" si="9"/>
        <v>24132</v>
      </c>
      <c r="P42" s="1">
        <f t="shared" si="10"/>
        <v>384943</v>
      </c>
      <c r="Q42" s="1">
        <v>270</v>
      </c>
      <c r="R42" s="1">
        <v>703</v>
      </c>
      <c r="S42" s="1">
        <v>10584</v>
      </c>
      <c r="T42" s="1">
        <v>10550</v>
      </c>
      <c r="U42" s="1">
        <v>137972</v>
      </c>
      <c r="V42" s="1">
        <v>170921</v>
      </c>
      <c r="W42" s="1">
        <f t="shared" si="11"/>
        <v>973</v>
      </c>
      <c r="X42" s="1">
        <f t="shared" si="12"/>
        <v>21134</v>
      </c>
      <c r="Y42" s="1">
        <f t="shared" si="13"/>
        <v>308893</v>
      </c>
      <c r="Z42" s="1">
        <v>9.94</v>
      </c>
      <c r="AA42" s="1">
        <v>9.5</v>
      </c>
      <c r="AB42" s="1">
        <f t="shared" ref="AB42:AB79" si="14">(Z42+AA42)/2</f>
        <v>9.7199999999999989</v>
      </c>
      <c r="AC42" s="1">
        <v>13.18</v>
      </c>
      <c r="AD42" s="1">
        <v>13.52</v>
      </c>
      <c r="AE42" s="1">
        <f t="shared" ref="AE42:AF79" si="15">(AC42+AD42)/2</f>
        <v>13.35</v>
      </c>
      <c r="AF42" s="1">
        <f t="shared" si="15"/>
        <v>13.434999999999999</v>
      </c>
      <c r="AG42" s="1">
        <v>99.5</v>
      </c>
      <c r="AH42" s="1">
        <v>96.78</v>
      </c>
      <c r="AI42" s="1">
        <v>78.66</v>
      </c>
      <c r="AJ42" s="1">
        <v>29.06</v>
      </c>
      <c r="AK42" s="1">
        <v>8205</v>
      </c>
      <c r="AL42" s="1">
        <v>1577</v>
      </c>
      <c r="AM42" s="1">
        <v>9782</v>
      </c>
      <c r="AN42" s="1">
        <v>91137</v>
      </c>
      <c r="AO42" s="1">
        <v>18448</v>
      </c>
      <c r="AP42" s="1">
        <v>109585</v>
      </c>
      <c r="AQ42" s="1">
        <v>1204565</v>
      </c>
      <c r="AR42" s="1">
        <v>344087</v>
      </c>
      <c r="AS42" s="1">
        <v>1548652</v>
      </c>
      <c r="AT42">
        <v>1338</v>
      </c>
      <c r="AU42">
        <v>1334</v>
      </c>
      <c r="AV42">
        <v>2672</v>
      </c>
      <c r="AW42">
        <v>31982</v>
      </c>
      <c r="AX42">
        <v>13488</v>
      </c>
      <c r="AY42">
        <v>45470</v>
      </c>
      <c r="AZ42">
        <v>415483</v>
      </c>
      <c r="BA42">
        <v>212102</v>
      </c>
      <c r="BB42">
        <v>627585</v>
      </c>
    </row>
    <row r="43" spans="1:54" x14ac:dyDescent="0.25">
      <c r="A43" s="1" t="s">
        <v>3</v>
      </c>
      <c r="B43" s="1">
        <v>2022</v>
      </c>
      <c r="C43" s="1">
        <v>4.9250000000000007</v>
      </c>
      <c r="D43" s="1">
        <v>7.03</v>
      </c>
      <c r="E43" s="1">
        <v>5.98</v>
      </c>
      <c r="F43" s="1">
        <v>20.23</v>
      </c>
      <c r="G43" s="1">
        <v>34.74</v>
      </c>
      <c r="H43" s="1">
        <v>236</v>
      </c>
      <c r="I43" s="1">
        <v>101</v>
      </c>
      <c r="J43" s="1">
        <v>9834</v>
      </c>
      <c r="K43" s="1">
        <v>1430</v>
      </c>
      <c r="L43" s="1">
        <v>137874</v>
      </c>
      <c r="M43" s="1">
        <v>14054</v>
      </c>
      <c r="N43" s="1">
        <f t="shared" si="8"/>
        <v>337</v>
      </c>
      <c r="O43" s="1">
        <f t="shared" si="9"/>
        <v>11264</v>
      </c>
      <c r="P43" s="1">
        <f t="shared" si="10"/>
        <v>151928</v>
      </c>
      <c r="Q43" s="1">
        <v>114</v>
      </c>
      <c r="R43" s="1">
        <v>98</v>
      </c>
      <c r="S43" s="1">
        <v>6204</v>
      </c>
      <c r="T43" s="1">
        <v>1516</v>
      </c>
      <c r="U43" s="1">
        <v>75205</v>
      </c>
      <c r="V43" s="1">
        <v>14094</v>
      </c>
      <c r="W43" s="1">
        <f t="shared" si="11"/>
        <v>212</v>
      </c>
      <c r="X43" s="1">
        <f t="shared" si="12"/>
        <v>7720</v>
      </c>
      <c r="Y43" s="1">
        <f t="shared" si="13"/>
        <v>89299</v>
      </c>
      <c r="Z43" s="1">
        <v>9.19</v>
      </c>
      <c r="AA43" s="1">
        <v>9.17</v>
      </c>
      <c r="AB43" s="1">
        <f t="shared" si="14"/>
        <v>9.18</v>
      </c>
      <c r="AC43" s="1">
        <v>13.71</v>
      </c>
      <c r="AD43" s="1">
        <v>14.62</v>
      </c>
      <c r="AE43" s="1">
        <f t="shared" si="15"/>
        <v>14.164999999999999</v>
      </c>
      <c r="AF43" s="1">
        <f t="shared" si="15"/>
        <v>14.392499999999998</v>
      </c>
      <c r="AG43" s="1">
        <v>99.55</v>
      </c>
      <c r="AH43" s="1">
        <v>96.52</v>
      </c>
      <c r="AI43" s="1">
        <v>83.71</v>
      </c>
      <c r="AJ43" s="1">
        <v>39.39</v>
      </c>
      <c r="AK43" s="1">
        <v>3962</v>
      </c>
      <c r="AL43" s="1">
        <v>298</v>
      </c>
      <c r="AM43" s="1">
        <v>4260</v>
      </c>
      <c r="AN43" s="1">
        <v>42372</v>
      </c>
      <c r="AO43" s="1">
        <v>4461</v>
      </c>
      <c r="AP43" s="1">
        <v>46833</v>
      </c>
      <c r="AQ43" s="1">
        <v>531193</v>
      </c>
      <c r="AR43" s="1">
        <v>66025</v>
      </c>
      <c r="AS43" s="1">
        <v>597218</v>
      </c>
      <c r="AT43">
        <v>673</v>
      </c>
      <c r="AU43">
        <v>180</v>
      </c>
      <c r="AV43">
        <v>853</v>
      </c>
      <c r="AW43">
        <v>15953</v>
      </c>
      <c r="AX43">
        <v>2316</v>
      </c>
      <c r="AY43">
        <v>18269</v>
      </c>
      <c r="AZ43">
        <v>177644</v>
      </c>
      <c r="BA43">
        <v>23766</v>
      </c>
      <c r="BB43">
        <v>201410</v>
      </c>
    </row>
    <row r="44" spans="1:54" x14ac:dyDescent="0.25">
      <c r="A44" s="1" t="s">
        <v>4</v>
      </c>
      <c r="B44" s="1">
        <v>2022</v>
      </c>
      <c r="C44" s="1">
        <v>6.415</v>
      </c>
      <c r="D44" s="1">
        <v>7.0750000000000002</v>
      </c>
      <c r="E44" s="1">
        <v>6.8100000000000005</v>
      </c>
      <c r="F44" s="1">
        <v>24.33</v>
      </c>
      <c r="G44" s="1">
        <v>45.98</v>
      </c>
      <c r="H44" s="1">
        <v>303</v>
      </c>
      <c r="I44" s="1">
        <v>152</v>
      </c>
      <c r="J44" s="1">
        <v>10018</v>
      </c>
      <c r="K44" s="1">
        <v>2052</v>
      </c>
      <c r="L44" s="1">
        <v>143617</v>
      </c>
      <c r="M44" s="1">
        <v>23073</v>
      </c>
      <c r="N44" s="1">
        <f t="shared" si="8"/>
        <v>455</v>
      </c>
      <c r="O44" s="1">
        <f t="shared" si="9"/>
        <v>12070</v>
      </c>
      <c r="P44" s="1">
        <f t="shared" si="10"/>
        <v>166690</v>
      </c>
      <c r="Q44" s="1">
        <v>128</v>
      </c>
      <c r="R44" s="1">
        <v>175</v>
      </c>
      <c r="S44" s="1">
        <v>5193</v>
      </c>
      <c r="T44" s="1">
        <v>3296</v>
      </c>
      <c r="U44" s="1">
        <v>66389</v>
      </c>
      <c r="V44" s="1">
        <v>37646</v>
      </c>
      <c r="W44" s="1">
        <f t="shared" si="11"/>
        <v>303</v>
      </c>
      <c r="X44" s="1">
        <f t="shared" si="12"/>
        <v>8489</v>
      </c>
      <c r="Y44" s="1">
        <f t="shared" si="13"/>
        <v>104035</v>
      </c>
      <c r="Z44" s="1">
        <v>9.42</v>
      </c>
      <c r="AA44" s="1">
        <v>9.08</v>
      </c>
      <c r="AB44" s="1">
        <f t="shared" si="14"/>
        <v>9.25</v>
      </c>
      <c r="AC44" s="1">
        <v>13.21</v>
      </c>
      <c r="AD44" s="1">
        <v>13.56</v>
      </c>
      <c r="AE44" s="1">
        <f t="shared" si="15"/>
        <v>13.385000000000002</v>
      </c>
      <c r="AF44" s="1">
        <f t="shared" si="15"/>
        <v>13.4725</v>
      </c>
      <c r="AG44" s="1">
        <v>99.61</v>
      </c>
      <c r="AH44" s="1">
        <v>95.72</v>
      </c>
      <c r="AI44" s="1">
        <v>77.319999999999993</v>
      </c>
      <c r="AJ44" s="1">
        <v>30.23</v>
      </c>
      <c r="AK44" s="1">
        <v>3221</v>
      </c>
      <c r="AL44" s="1">
        <v>570</v>
      </c>
      <c r="AM44" s="1">
        <v>3791</v>
      </c>
      <c r="AN44" s="1">
        <v>42764</v>
      </c>
      <c r="AO44" s="1">
        <v>8614</v>
      </c>
      <c r="AP44" s="1">
        <v>51378</v>
      </c>
      <c r="AQ44" s="1">
        <v>634909</v>
      </c>
      <c r="AR44" s="1">
        <v>138617</v>
      </c>
      <c r="AS44" s="1">
        <v>773526</v>
      </c>
      <c r="AT44">
        <v>863</v>
      </c>
      <c r="AU44">
        <v>391</v>
      </c>
      <c r="AV44">
        <v>1254</v>
      </c>
      <c r="AW44">
        <v>16154</v>
      </c>
      <c r="AX44">
        <v>4478</v>
      </c>
      <c r="AY44">
        <v>20632</v>
      </c>
      <c r="AZ44">
        <v>202483</v>
      </c>
      <c r="BA44">
        <v>55589</v>
      </c>
      <c r="BB44">
        <v>258072</v>
      </c>
    </row>
    <row r="45" spans="1:54" x14ac:dyDescent="0.25">
      <c r="A45" s="1" t="s">
        <v>5</v>
      </c>
      <c r="B45" s="1">
        <v>2022</v>
      </c>
      <c r="C45" s="1">
        <v>10.495000000000001</v>
      </c>
      <c r="D45" s="1">
        <v>6.2550000000000008</v>
      </c>
      <c r="E45" s="1">
        <v>7.66</v>
      </c>
      <c r="F45" s="1">
        <v>23.86</v>
      </c>
      <c r="G45" s="1">
        <v>40.020000000000003</v>
      </c>
      <c r="H45" s="1">
        <v>162</v>
      </c>
      <c r="I45" s="1">
        <v>77</v>
      </c>
      <c r="J45" s="1">
        <v>5364</v>
      </c>
      <c r="K45" s="1">
        <v>787</v>
      </c>
      <c r="L45" s="1">
        <v>69152</v>
      </c>
      <c r="M45" s="1">
        <v>9293</v>
      </c>
      <c r="N45" s="1">
        <f t="shared" si="8"/>
        <v>239</v>
      </c>
      <c r="O45" s="1">
        <f t="shared" si="9"/>
        <v>6151</v>
      </c>
      <c r="P45" s="1">
        <f t="shared" si="10"/>
        <v>78445</v>
      </c>
      <c r="Q45" s="1">
        <v>104</v>
      </c>
      <c r="R45" s="1">
        <v>75</v>
      </c>
      <c r="S45" s="1">
        <v>3535</v>
      </c>
      <c r="T45" s="1">
        <v>937</v>
      </c>
      <c r="U45" s="1">
        <v>39326</v>
      </c>
      <c r="V45" s="1">
        <v>10738</v>
      </c>
      <c r="W45" s="1">
        <f t="shared" si="11"/>
        <v>179</v>
      </c>
      <c r="X45" s="1">
        <f t="shared" si="12"/>
        <v>4472</v>
      </c>
      <c r="Y45" s="1">
        <f t="shared" si="13"/>
        <v>50064</v>
      </c>
      <c r="Z45" s="1">
        <v>8.9600000000000009</v>
      </c>
      <c r="AA45" s="1">
        <v>8.39</v>
      </c>
      <c r="AB45" s="1">
        <f t="shared" si="14"/>
        <v>8.6750000000000007</v>
      </c>
      <c r="AC45" s="1">
        <v>12.96</v>
      </c>
      <c r="AD45" s="1">
        <v>13.27</v>
      </c>
      <c r="AE45" s="1">
        <f t="shared" si="15"/>
        <v>13.115</v>
      </c>
      <c r="AF45" s="1">
        <f t="shared" si="15"/>
        <v>13.192499999999999</v>
      </c>
      <c r="AG45" s="1">
        <v>99.33</v>
      </c>
      <c r="AH45" s="1">
        <v>96.2</v>
      </c>
      <c r="AI45" s="1">
        <v>72.53</v>
      </c>
      <c r="AJ45" s="1">
        <v>25.1</v>
      </c>
      <c r="AK45" s="1">
        <v>2308</v>
      </c>
      <c r="AL45" s="1">
        <v>155</v>
      </c>
      <c r="AM45" s="1">
        <v>2463</v>
      </c>
      <c r="AN45" s="1">
        <v>24989</v>
      </c>
      <c r="AO45" s="1">
        <v>2172</v>
      </c>
      <c r="AP45" s="1">
        <v>27161</v>
      </c>
      <c r="AQ45" s="1">
        <v>335196</v>
      </c>
      <c r="AR45" s="1">
        <v>33498</v>
      </c>
      <c r="AS45" s="1">
        <v>368694</v>
      </c>
      <c r="AT45">
        <v>560</v>
      </c>
      <c r="AU45">
        <v>143</v>
      </c>
      <c r="AV45">
        <v>703</v>
      </c>
      <c r="AW45">
        <v>10144</v>
      </c>
      <c r="AX45">
        <v>1440</v>
      </c>
      <c r="AY45">
        <v>11584</v>
      </c>
      <c r="AZ45">
        <v>97895</v>
      </c>
      <c r="BA45">
        <v>20376</v>
      </c>
      <c r="BB45">
        <v>118271</v>
      </c>
    </row>
    <row r="46" spans="1:54" x14ac:dyDescent="0.25">
      <c r="A46" s="1" t="s">
        <v>6</v>
      </c>
      <c r="B46" s="1">
        <v>2022</v>
      </c>
      <c r="C46" s="1">
        <v>11.3</v>
      </c>
      <c r="D46" s="1">
        <v>12.305</v>
      </c>
      <c r="E46" s="1">
        <v>11.925000000000001</v>
      </c>
      <c r="F46" s="1">
        <v>25.32</v>
      </c>
      <c r="G46" s="1">
        <v>36.72</v>
      </c>
      <c r="H46" s="1">
        <v>329</v>
      </c>
      <c r="I46" s="1">
        <v>283</v>
      </c>
      <c r="J46" s="1">
        <v>11845</v>
      </c>
      <c r="K46" s="1">
        <v>3374</v>
      </c>
      <c r="L46" s="1">
        <v>165349</v>
      </c>
      <c r="M46" s="1">
        <v>47065</v>
      </c>
      <c r="N46" s="1">
        <f t="shared" si="8"/>
        <v>612</v>
      </c>
      <c r="O46" s="1">
        <f t="shared" si="9"/>
        <v>15219</v>
      </c>
      <c r="P46" s="1">
        <f t="shared" si="10"/>
        <v>212414</v>
      </c>
      <c r="Q46" s="1">
        <v>120</v>
      </c>
      <c r="R46" s="1">
        <v>190</v>
      </c>
      <c r="S46" s="1">
        <v>5604</v>
      </c>
      <c r="T46" s="1">
        <v>3061</v>
      </c>
      <c r="U46" s="1">
        <v>75576</v>
      </c>
      <c r="V46" s="1">
        <v>48075</v>
      </c>
      <c r="W46" s="1">
        <f t="shared" si="11"/>
        <v>310</v>
      </c>
      <c r="X46" s="1">
        <f t="shared" si="12"/>
        <v>8665</v>
      </c>
      <c r="Y46" s="1">
        <f t="shared" si="13"/>
        <v>123651</v>
      </c>
      <c r="Z46" s="1">
        <v>8.59</v>
      </c>
      <c r="AA46" s="1">
        <v>8.19</v>
      </c>
      <c r="AB46" s="1">
        <f t="shared" si="14"/>
        <v>8.39</v>
      </c>
      <c r="AC46" s="1">
        <v>12.52</v>
      </c>
      <c r="AD46" s="1">
        <v>12.79</v>
      </c>
      <c r="AE46" s="1">
        <f t="shared" si="15"/>
        <v>12.654999999999999</v>
      </c>
      <c r="AF46" s="1">
        <f t="shared" si="15"/>
        <v>12.7225</v>
      </c>
      <c r="AG46" s="1">
        <v>99.38</v>
      </c>
      <c r="AH46" s="1">
        <v>95.06</v>
      </c>
      <c r="AI46" s="1">
        <v>70.930000000000007</v>
      </c>
      <c r="AJ46" s="1">
        <v>19.82</v>
      </c>
      <c r="AK46" s="1">
        <v>4252</v>
      </c>
      <c r="AL46" s="1">
        <v>444</v>
      </c>
      <c r="AM46" s="1">
        <v>4696</v>
      </c>
      <c r="AN46" s="1">
        <v>54232</v>
      </c>
      <c r="AO46" s="1">
        <v>5629</v>
      </c>
      <c r="AP46" s="1">
        <v>59861</v>
      </c>
      <c r="AQ46" s="1">
        <v>796801</v>
      </c>
      <c r="AR46" s="1">
        <v>85733</v>
      </c>
      <c r="AS46" s="1">
        <v>882534</v>
      </c>
      <c r="AT46">
        <v>904</v>
      </c>
      <c r="AU46">
        <v>505</v>
      </c>
      <c r="AV46">
        <v>1409</v>
      </c>
      <c r="AW46">
        <v>21681</v>
      </c>
      <c r="AX46">
        <v>4978</v>
      </c>
      <c r="AY46">
        <v>26659</v>
      </c>
      <c r="AZ46">
        <v>284660</v>
      </c>
      <c r="BA46">
        <v>69426</v>
      </c>
      <c r="BB46">
        <v>354086</v>
      </c>
    </row>
    <row r="47" spans="1:54" x14ac:dyDescent="0.25">
      <c r="A47" s="1" t="s">
        <v>7</v>
      </c>
      <c r="B47" s="1">
        <v>2022</v>
      </c>
      <c r="C47" s="1">
        <v>14.705</v>
      </c>
      <c r="D47" s="1">
        <v>14.365</v>
      </c>
      <c r="E47" s="1">
        <v>14.48</v>
      </c>
      <c r="F47" s="1">
        <v>22.49</v>
      </c>
      <c r="G47" s="1">
        <v>32.46</v>
      </c>
      <c r="H47" s="1">
        <v>109</v>
      </c>
      <c r="I47" s="1">
        <v>37</v>
      </c>
      <c r="J47" s="1">
        <v>3885</v>
      </c>
      <c r="K47" s="1">
        <v>317</v>
      </c>
      <c r="L47" s="1">
        <v>49781</v>
      </c>
      <c r="M47" s="1">
        <v>2832</v>
      </c>
      <c r="N47" s="1">
        <f t="shared" si="8"/>
        <v>146</v>
      </c>
      <c r="O47" s="1">
        <f t="shared" si="9"/>
        <v>4202</v>
      </c>
      <c r="P47" s="1">
        <f t="shared" si="10"/>
        <v>52613</v>
      </c>
      <c r="Q47" s="1">
        <v>64</v>
      </c>
      <c r="R47" s="1">
        <v>40</v>
      </c>
      <c r="S47" s="1">
        <v>2565</v>
      </c>
      <c r="T47" s="1">
        <v>488</v>
      </c>
      <c r="U47" s="1">
        <v>26402</v>
      </c>
      <c r="V47" s="1">
        <v>3806</v>
      </c>
      <c r="W47" s="1">
        <f t="shared" si="11"/>
        <v>104</v>
      </c>
      <c r="X47" s="1">
        <f t="shared" si="12"/>
        <v>3053</v>
      </c>
      <c r="Y47" s="1">
        <f t="shared" si="13"/>
        <v>30208</v>
      </c>
      <c r="Z47" s="1">
        <v>9.1999999999999993</v>
      </c>
      <c r="AA47" s="1">
        <v>8.64</v>
      </c>
      <c r="AB47" s="1">
        <f t="shared" si="14"/>
        <v>8.92</v>
      </c>
      <c r="AC47" s="1">
        <v>13.63</v>
      </c>
      <c r="AD47" s="1">
        <v>14.07</v>
      </c>
      <c r="AE47" s="1">
        <f t="shared" si="15"/>
        <v>13.850000000000001</v>
      </c>
      <c r="AF47" s="1">
        <f t="shared" si="15"/>
        <v>13.96</v>
      </c>
      <c r="AG47" s="1">
        <v>99.49</v>
      </c>
      <c r="AH47" s="1">
        <v>97.73</v>
      </c>
      <c r="AI47" s="1">
        <v>79.31</v>
      </c>
      <c r="AJ47" s="1">
        <v>33.04</v>
      </c>
      <c r="AK47" s="1">
        <v>1290</v>
      </c>
      <c r="AL47" s="1">
        <v>108</v>
      </c>
      <c r="AM47" s="1">
        <v>1398</v>
      </c>
      <c r="AN47" s="1">
        <v>14351</v>
      </c>
      <c r="AO47" s="1">
        <v>1684</v>
      </c>
      <c r="AP47" s="1">
        <v>16035</v>
      </c>
      <c r="AQ47" s="1">
        <v>173543</v>
      </c>
      <c r="AR47" s="1">
        <v>20838</v>
      </c>
      <c r="AS47" s="1">
        <v>194381</v>
      </c>
      <c r="AT47">
        <v>380</v>
      </c>
      <c r="AU47">
        <v>68</v>
      </c>
      <c r="AV47">
        <v>448</v>
      </c>
      <c r="AW47">
        <v>7250</v>
      </c>
      <c r="AX47">
        <v>778</v>
      </c>
      <c r="AY47">
        <v>8028</v>
      </c>
      <c r="AZ47">
        <v>77696</v>
      </c>
      <c r="BA47">
        <v>7914</v>
      </c>
      <c r="BB47">
        <v>85610</v>
      </c>
    </row>
    <row r="48" spans="1:54" x14ac:dyDescent="0.25">
      <c r="A48" s="1" t="s">
        <v>8</v>
      </c>
      <c r="B48" s="1">
        <v>2022</v>
      </c>
      <c r="C48" s="1">
        <v>8.3249999999999993</v>
      </c>
      <c r="D48" s="1">
        <v>13.05</v>
      </c>
      <c r="E48" s="1">
        <v>11.504999999999999</v>
      </c>
      <c r="F48" s="1">
        <v>22.63</v>
      </c>
      <c r="G48" s="1">
        <v>28.49</v>
      </c>
      <c r="H48" s="1">
        <v>239</v>
      </c>
      <c r="I48" s="1">
        <v>280</v>
      </c>
      <c r="J48" s="1">
        <v>8312</v>
      </c>
      <c r="K48" s="1">
        <v>3236</v>
      </c>
      <c r="L48" s="1">
        <v>123644</v>
      </c>
      <c r="M48" s="1">
        <v>41107</v>
      </c>
      <c r="N48" s="1">
        <f t="shared" si="8"/>
        <v>519</v>
      </c>
      <c r="O48" s="1">
        <f t="shared" si="9"/>
        <v>11548</v>
      </c>
      <c r="P48" s="1">
        <f t="shared" si="10"/>
        <v>164751</v>
      </c>
      <c r="Q48" s="1">
        <v>111</v>
      </c>
      <c r="R48" s="1">
        <v>381</v>
      </c>
      <c r="S48" s="1">
        <v>4865</v>
      </c>
      <c r="T48" s="1">
        <v>5893</v>
      </c>
      <c r="U48" s="1">
        <v>67956</v>
      </c>
      <c r="V48" s="1">
        <v>81763</v>
      </c>
      <c r="W48" s="1">
        <f t="shared" si="11"/>
        <v>492</v>
      </c>
      <c r="X48" s="1">
        <f t="shared" si="12"/>
        <v>10758</v>
      </c>
      <c r="Y48" s="1">
        <f t="shared" si="13"/>
        <v>149719</v>
      </c>
      <c r="Z48" s="1">
        <v>8.4700000000000006</v>
      </c>
      <c r="AA48" s="1">
        <v>7.87</v>
      </c>
      <c r="AB48" s="1">
        <f t="shared" si="14"/>
        <v>8.17</v>
      </c>
      <c r="AC48" s="1">
        <v>12.65</v>
      </c>
      <c r="AD48" s="1">
        <v>12.98</v>
      </c>
      <c r="AE48" s="1">
        <f t="shared" si="15"/>
        <v>12.815000000000001</v>
      </c>
      <c r="AF48" s="1">
        <f t="shared" si="15"/>
        <v>12.897500000000001</v>
      </c>
      <c r="AG48" s="1">
        <v>99.56</v>
      </c>
      <c r="AH48" s="1">
        <v>95.63</v>
      </c>
      <c r="AI48" s="1">
        <v>71.14</v>
      </c>
      <c r="AJ48" s="1">
        <v>22.37</v>
      </c>
      <c r="AK48" s="1">
        <v>4314</v>
      </c>
      <c r="AL48" s="1">
        <v>418</v>
      </c>
      <c r="AM48" s="1">
        <v>4732</v>
      </c>
      <c r="AN48" s="1">
        <v>52422</v>
      </c>
      <c r="AO48" s="1">
        <v>5289</v>
      </c>
      <c r="AP48" s="1">
        <v>57711</v>
      </c>
      <c r="AQ48" s="1">
        <v>719438</v>
      </c>
      <c r="AR48" s="1">
        <v>80181</v>
      </c>
      <c r="AS48" s="1">
        <v>799619</v>
      </c>
      <c r="AT48">
        <v>709</v>
      </c>
      <c r="AU48">
        <v>726</v>
      </c>
      <c r="AV48">
        <v>1435</v>
      </c>
      <c r="AW48">
        <v>17301</v>
      </c>
      <c r="AX48">
        <v>6854</v>
      </c>
      <c r="AY48">
        <v>24155</v>
      </c>
      <c r="AZ48">
        <v>239170</v>
      </c>
      <c r="BA48">
        <v>90792</v>
      </c>
      <c r="BB48">
        <v>329962</v>
      </c>
    </row>
    <row r="49" spans="1:54" x14ac:dyDescent="0.25">
      <c r="A49" s="1" t="s">
        <v>9</v>
      </c>
      <c r="B49" s="1">
        <v>2022</v>
      </c>
      <c r="C49" s="1">
        <v>3.2850000000000001</v>
      </c>
      <c r="D49" s="1">
        <v>6.1950000000000003</v>
      </c>
      <c r="E49" s="1">
        <v>4.53</v>
      </c>
      <c r="F49" s="1">
        <v>21.87</v>
      </c>
      <c r="G49" s="1">
        <v>50.37</v>
      </c>
      <c r="H49" s="1">
        <v>47</v>
      </c>
      <c r="I49" s="1">
        <v>24</v>
      </c>
      <c r="J49" s="1">
        <v>1463</v>
      </c>
      <c r="K49" s="1">
        <v>299</v>
      </c>
      <c r="L49" s="1">
        <v>26033</v>
      </c>
      <c r="M49" s="1">
        <v>3963</v>
      </c>
      <c r="N49" s="1">
        <f t="shared" si="8"/>
        <v>71</v>
      </c>
      <c r="O49" s="1">
        <f t="shared" si="9"/>
        <v>1762</v>
      </c>
      <c r="P49" s="1">
        <f t="shared" si="10"/>
        <v>29996</v>
      </c>
      <c r="Q49" s="1">
        <v>36</v>
      </c>
      <c r="R49" s="1">
        <v>23</v>
      </c>
      <c r="S49" s="1">
        <v>1359</v>
      </c>
      <c r="T49" s="1">
        <v>385</v>
      </c>
      <c r="U49" s="1">
        <v>19335</v>
      </c>
      <c r="V49" s="1">
        <v>5599</v>
      </c>
      <c r="W49" s="1">
        <f t="shared" si="11"/>
        <v>59</v>
      </c>
      <c r="X49" s="1">
        <f t="shared" si="12"/>
        <v>1744</v>
      </c>
      <c r="Y49" s="1">
        <f t="shared" si="13"/>
        <v>24934</v>
      </c>
      <c r="Z49" s="1">
        <v>8.43</v>
      </c>
      <c r="AA49" s="1">
        <v>7.87</v>
      </c>
      <c r="AB49" s="1">
        <f t="shared" si="14"/>
        <v>8.15</v>
      </c>
      <c r="AC49" s="1">
        <v>12.12</v>
      </c>
      <c r="AD49" s="1">
        <v>12.31</v>
      </c>
      <c r="AE49" s="1">
        <f t="shared" si="15"/>
        <v>12.215</v>
      </c>
      <c r="AF49" s="1">
        <f t="shared" si="15"/>
        <v>12.262499999999999</v>
      </c>
      <c r="AG49" s="1">
        <v>99.41</v>
      </c>
      <c r="AH49" s="1">
        <v>93</v>
      </c>
      <c r="AI49" s="1">
        <v>68.42</v>
      </c>
      <c r="AJ49" s="1">
        <v>18.88</v>
      </c>
      <c r="AK49" s="1">
        <v>760</v>
      </c>
      <c r="AL49" s="1">
        <v>72</v>
      </c>
      <c r="AM49" s="1">
        <v>832</v>
      </c>
      <c r="AN49" s="1">
        <v>8672</v>
      </c>
      <c r="AO49" s="1">
        <v>1006</v>
      </c>
      <c r="AP49" s="1">
        <v>9678</v>
      </c>
      <c r="AQ49" s="1">
        <v>146317</v>
      </c>
      <c r="AR49" s="1">
        <v>16405</v>
      </c>
      <c r="AS49" s="1">
        <v>162722</v>
      </c>
      <c r="AT49">
        <v>163</v>
      </c>
      <c r="AU49">
        <v>62</v>
      </c>
      <c r="AV49">
        <v>225</v>
      </c>
      <c r="AW49">
        <v>3200</v>
      </c>
      <c r="AX49">
        <v>642</v>
      </c>
      <c r="AY49">
        <v>3842</v>
      </c>
      <c r="AZ49">
        <v>52727</v>
      </c>
      <c r="BA49">
        <v>9062</v>
      </c>
      <c r="BB49">
        <v>61789</v>
      </c>
    </row>
    <row r="50" spans="1:54" x14ac:dyDescent="0.25">
      <c r="A50" s="1" t="s">
        <v>10</v>
      </c>
      <c r="B50" s="1">
        <v>2022</v>
      </c>
      <c r="C50" s="1">
        <v>5.57</v>
      </c>
      <c r="D50" s="1">
        <v>10.655000000000001</v>
      </c>
      <c r="E50" s="1">
        <v>6.1349999999999998</v>
      </c>
      <c r="F50" s="1">
        <v>18.739999999999998</v>
      </c>
      <c r="G50" s="1">
        <v>63.68</v>
      </c>
      <c r="H50" s="1">
        <v>93</v>
      </c>
      <c r="I50" s="1">
        <v>70</v>
      </c>
      <c r="J50" s="1">
        <v>2829</v>
      </c>
      <c r="K50" s="1">
        <v>712</v>
      </c>
      <c r="L50" s="1">
        <v>46609</v>
      </c>
      <c r="M50" s="1">
        <v>7825</v>
      </c>
      <c r="N50" s="1">
        <f t="shared" si="8"/>
        <v>163</v>
      </c>
      <c r="O50" s="1">
        <f t="shared" si="9"/>
        <v>3541</v>
      </c>
      <c r="P50" s="1">
        <f t="shared" si="10"/>
        <v>54434</v>
      </c>
      <c r="Q50" s="1">
        <v>36</v>
      </c>
      <c r="R50" s="1">
        <v>74</v>
      </c>
      <c r="S50" s="1">
        <v>1687</v>
      </c>
      <c r="T50" s="1">
        <v>864</v>
      </c>
      <c r="U50" s="1">
        <v>26053</v>
      </c>
      <c r="V50" s="1">
        <v>10039</v>
      </c>
      <c r="W50" s="1">
        <f t="shared" si="11"/>
        <v>110</v>
      </c>
      <c r="X50" s="1">
        <f t="shared" si="12"/>
        <v>2551</v>
      </c>
      <c r="Y50" s="1">
        <f t="shared" si="13"/>
        <v>36092</v>
      </c>
      <c r="Z50" s="1">
        <v>10.5</v>
      </c>
      <c r="AA50" s="1">
        <v>10.23</v>
      </c>
      <c r="AB50" s="1">
        <f t="shared" si="14"/>
        <v>10.365</v>
      </c>
      <c r="AC50" s="1">
        <v>12.92</v>
      </c>
      <c r="AD50" s="1">
        <v>13.16</v>
      </c>
      <c r="AE50" s="1">
        <f t="shared" si="15"/>
        <v>13.04</v>
      </c>
      <c r="AF50" s="1">
        <f t="shared" si="15"/>
        <v>13.1</v>
      </c>
      <c r="AG50" s="1">
        <v>99.28</v>
      </c>
      <c r="AH50" s="1">
        <v>99.01</v>
      </c>
      <c r="AI50" s="1">
        <v>84.54</v>
      </c>
      <c r="AJ50" s="1">
        <v>22.66</v>
      </c>
      <c r="AK50" s="1">
        <v>684</v>
      </c>
      <c r="AL50" s="1">
        <v>289</v>
      </c>
      <c r="AM50" s="1">
        <v>973</v>
      </c>
      <c r="AN50" s="1">
        <v>9483</v>
      </c>
      <c r="AO50" s="1">
        <v>4550</v>
      </c>
      <c r="AP50" s="1">
        <v>14033</v>
      </c>
      <c r="AQ50" s="1">
        <v>154066</v>
      </c>
      <c r="AR50" s="1">
        <v>71509</v>
      </c>
      <c r="AS50" s="1">
        <v>225575</v>
      </c>
      <c r="AT50">
        <v>235</v>
      </c>
      <c r="AU50">
        <v>175</v>
      </c>
      <c r="AV50">
        <v>410</v>
      </c>
      <c r="AW50">
        <v>4392</v>
      </c>
      <c r="AX50">
        <v>1944</v>
      </c>
      <c r="AY50">
        <v>6336</v>
      </c>
      <c r="AZ50">
        <v>74360</v>
      </c>
      <c r="BA50">
        <v>23237</v>
      </c>
      <c r="BB50">
        <v>97597</v>
      </c>
    </row>
    <row r="51" spans="1:54" x14ac:dyDescent="0.25">
      <c r="A51" s="1" t="s">
        <v>11</v>
      </c>
      <c r="B51" s="1">
        <v>2022</v>
      </c>
      <c r="C51" s="1">
        <v>4.6500000000000004</v>
      </c>
      <c r="D51" s="1">
        <v>4.6500000000000004</v>
      </c>
      <c r="E51" s="1">
        <v>4.6500000000000004</v>
      </c>
      <c r="F51" s="1">
        <v>17.190000000000001</v>
      </c>
      <c r="G51" s="1">
        <v>63.12</v>
      </c>
      <c r="H51" s="1">
        <v>117</v>
      </c>
      <c r="I51" s="1">
        <v>375</v>
      </c>
      <c r="J51" s="1">
        <v>5142</v>
      </c>
      <c r="K51" s="1">
        <v>6631</v>
      </c>
      <c r="L51" s="1">
        <v>90825</v>
      </c>
      <c r="M51" s="1">
        <v>99062</v>
      </c>
      <c r="N51" s="1">
        <f t="shared" si="8"/>
        <v>492</v>
      </c>
      <c r="O51" s="1">
        <f t="shared" si="9"/>
        <v>11773</v>
      </c>
      <c r="P51" s="1">
        <f t="shared" si="10"/>
        <v>189887</v>
      </c>
      <c r="Q51" s="1">
        <v>73</v>
      </c>
      <c r="R51" s="1">
        <v>499</v>
      </c>
      <c r="S51" s="1">
        <v>3296</v>
      </c>
      <c r="T51" s="1">
        <v>8505</v>
      </c>
      <c r="U51" s="1">
        <v>56768</v>
      </c>
      <c r="V51" s="1">
        <v>139206</v>
      </c>
      <c r="W51" s="1">
        <f t="shared" si="11"/>
        <v>572</v>
      </c>
      <c r="X51" s="1">
        <f t="shared" si="12"/>
        <v>11801</v>
      </c>
      <c r="Y51" s="1">
        <f t="shared" si="13"/>
        <v>195974</v>
      </c>
      <c r="Z51" s="1">
        <v>11.64</v>
      </c>
      <c r="AA51" s="1">
        <v>10.97</v>
      </c>
      <c r="AB51" s="1">
        <f t="shared" si="14"/>
        <v>11.305</v>
      </c>
      <c r="AC51" s="1">
        <v>13.11</v>
      </c>
      <c r="AD51" s="1">
        <v>13.06</v>
      </c>
      <c r="AE51" s="1">
        <f t="shared" si="15"/>
        <v>13.085000000000001</v>
      </c>
      <c r="AF51" s="1">
        <f t="shared" si="15"/>
        <v>13.072500000000002</v>
      </c>
      <c r="AG51" s="1">
        <v>99.44</v>
      </c>
      <c r="AH51" s="1">
        <v>97.95</v>
      </c>
      <c r="AI51" s="1">
        <v>72.099999999999994</v>
      </c>
      <c r="AJ51" s="1">
        <v>27.23</v>
      </c>
      <c r="AK51" s="1">
        <v>1308</v>
      </c>
      <c r="AL51" s="1">
        <v>931</v>
      </c>
      <c r="AM51" s="1">
        <v>2239</v>
      </c>
      <c r="AN51" s="1">
        <v>24794</v>
      </c>
      <c r="AO51" s="1">
        <v>15550</v>
      </c>
      <c r="AP51" s="1">
        <v>40344</v>
      </c>
      <c r="AQ51" s="1">
        <v>546713</v>
      </c>
      <c r="AR51" s="1">
        <v>218377</v>
      </c>
      <c r="AS51" s="1">
        <v>765090</v>
      </c>
      <c r="AT51">
        <v>293</v>
      </c>
      <c r="AU51">
        <v>785</v>
      </c>
      <c r="AV51">
        <v>1078</v>
      </c>
      <c r="AW51">
        <v>10115</v>
      </c>
      <c r="AX51">
        <v>9551</v>
      </c>
      <c r="AY51">
        <v>19666</v>
      </c>
      <c r="AZ51">
        <v>219543</v>
      </c>
      <c r="BA51">
        <v>130223</v>
      </c>
      <c r="BB51">
        <v>349766</v>
      </c>
    </row>
    <row r="52" spans="1:54" x14ac:dyDescent="0.25">
      <c r="A52" s="1" t="s">
        <v>12</v>
      </c>
      <c r="B52" s="1">
        <v>2022</v>
      </c>
      <c r="C52" s="1">
        <v>7.5449999999999999</v>
      </c>
      <c r="D52" s="1">
        <v>9.8150000000000013</v>
      </c>
      <c r="E52" s="1">
        <v>8.02</v>
      </c>
      <c r="F52" s="1">
        <v>27.85</v>
      </c>
      <c r="G52" s="1">
        <v>45.39</v>
      </c>
      <c r="H52" s="1">
        <v>514</v>
      </c>
      <c r="I52" s="1">
        <v>1197</v>
      </c>
      <c r="J52" s="1">
        <v>25473</v>
      </c>
      <c r="K52" s="1">
        <v>16678</v>
      </c>
      <c r="L52" s="1">
        <v>508679</v>
      </c>
      <c r="M52" s="1">
        <v>284248</v>
      </c>
      <c r="N52" s="1">
        <f t="shared" si="8"/>
        <v>1711</v>
      </c>
      <c r="O52" s="1">
        <f t="shared" si="9"/>
        <v>42151</v>
      </c>
      <c r="P52" s="1">
        <f t="shared" si="10"/>
        <v>792927</v>
      </c>
      <c r="Q52" s="1">
        <v>288</v>
      </c>
      <c r="R52" s="1">
        <v>2617</v>
      </c>
      <c r="S52" s="1">
        <v>17534</v>
      </c>
      <c r="T52" s="1">
        <v>40788</v>
      </c>
      <c r="U52" s="1">
        <v>330779</v>
      </c>
      <c r="V52" s="1">
        <v>745666</v>
      </c>
      <c r="W52" s="1">
        <f t="shared" si="11"/>
        <v>2905</v>
      </c>
      <c r="X52" s="1">
        <f t="shared" si="12"/>
        <v>58322</v>
      </c>
      <c r="Y52" s="1">
        <f t="shared" si="13"/>
        <v>1076445</v>
      </c>
      <c r="Z52" s="1">
        <v>9.07</v>
      </c>
      <c r="AA52" s="1">
        <v>8.48</v>
      </c>
      <c r="AB52" s="1">
        <f t="shared" si="14"/>
        <v>8.7750000000000004</v>
      </c>
      <c r="AC52" s="1">
        <v>12.6</v>
      </c>
      <c r="AD52" s="1">
        <v>12.72</v>
      </c>
      <c r="AE52" s="1">
        <f t="shared" si="15"/>
        <v>12.66</v>
      </c>
      <c r="AF52" s="1">
        <f t="shared" si="15"/>
        <v>12.690000000000001</v>
      </c>
      <c r="AG52" s="1">
        <v>99.39</v>
      </c>
      <c r="AH52" s="1">
        <v>95.27</v>
      </c>
      <c r="AI52" s="1">
        <v>68.66</v>
      </c>
      <c r="AJ52" s="1">
        <v>24.82</v>
      </c>
      <c r="AK52" s="1">
        <v>17302</v>
      </c>
      <c r="AL52" s="1">
        <v>2357</v>
      </c>
      <c r="AM52" s="1">
        <v>19659</v>
      </c>
      <c r="AN52" s="1">
        <v>177306</v>
      </c>
      <c r="AO52" s="1">
        <v>35543</v>
      </c>
      <c r="AP52" s="1">
        <v>212849</v>
      </c>
      <c r="AQ52" s="1">
        <v>3883339</v>
      </c>
      <c r="AR52" s="1">
        <v>567595</v>
      </c>
      <c r="AS52" s="1">
        <v>4450934</v>
      </c>
      <c r="AT52">
        <v>1982</v>
      </c>
      <c r="AU52">
        <v>3843</v>
      </c>
      <c r="AV52">
        <v>5825</v>
      </c>
      <c r="AW52">
        <v>54407</v>
      </c>
      <c r="AX52">
        <v>41772</v>
      </c>
      <c r="AY52">
        <v>96179</v>
      </c>
      <c r="AZ52">
        <v>1108220</v>
      </c>
      <c r="BA52">
        <v>673266</v>
      </c>
      <c r="BB52">
        <v>1781486</v>
      </c>
    </row>
    <row r="53" spans="1:54" x14ac:dyDescent="0.25">
      <c r="A53" s="1" t="s">
        <v>13</v>
      </c>
      <c r="B53" s="1">
        <v>2022</v>
      </c>
      <c r="C53" s="1">
        <v>9.9699999999999989</v>
      </c>
      <c r="D53" s="1">
        <v>12.045</v>
      </c>
      <c r="E53" s="1">
        <v>10.955</v>
      </c>
      <c r="F53" s="1">
        <v>20.440000000000001</v>
      </c>
      <c r="G53" s="1">
        <v>39.840000000000003</v>
      </c>
      <c r="H53" s="1">
        <v>361</v>
      </c>
      <c r="I53" s="1">
        <v>493</v>
      </c>
      <c r="J53" s="1">
        <v>18467</v>
      </c>
      <c r="K53" s="1">
        <v>7717</v>
      </c>
      <c r="L53" s="1">
        <v>335227</v>
      </c>
      <c r="M53" s="1">
        <v>103302</v>
      </c>
      <c r="N53" s="1">
        <f t="shared" si="8"/>
        <v>854</v>
      </c>
      <c r="O53" s="1">
        <f t="shared" si="9"/>
        <v>26184</v>
      </c>
      <c r="P53" s="1">
        <f t="shared" si="10"/>
        <v>438529</v>
      </c>
      <c r="Q53" s="1">
        <v>237</v>
      </c>
      <c r="R53" s="1">
        <v>1312</v>
      </c>
      <c r="S53" s="1">
        <v>16917</v>
      </c>
      <c r="T53" s="1">
        <v>29224</v>
      </c>
      <c r="U53" s="1">
        <v>292022</v>
      </c>
      <c r="V53" s="1">
        <v>498113</v>
      </c>
      <c r="W53" s="1">
        <f t="shared" si="11"/>
        <v>1549</v>
      </c>
      <c r="X53" s="1">
        <f t="shared" si="12"/>
        <v>46141</v>
      </c>
      <c r="Y53" s="1">
        <f t="shared" si="13"/>
        <v>790135</v>
      </c>
      <c r="Z53" s="1">
        <v>8.31</v>
      </c>
      <c r="AA53" s="1">
        <v>7.55</v>
      </c>
      <c r="AB53" s="1">
        <f t="shared" si="14"/>
        <v>7.93</v>
      </c>
      <c r="AC53" s="1">
        <v>12.72</v>
      </c>
      <c r="AD53" s="1">
        <v>12.99</v>
      </c>
      <c r="AE53" s="1">
        <f t="shared" si="15"/>
        <v>12.855</v>
      </c>
      <c r="AF53" s="1">
        <f t="shared" si="15"/>
        <v>12.922499999999999</v>
      </c>
      <c r="AG53" s="1">
        <v>99.58</v>
      </c>
      <c r="AH53" s="1">
        <v>96.77</v>
      </c>
      <c r="AI53" s="1">
        <v>70.819999999999993</v>
      </c>
      <c r="AJ53" s="1">
        <v>25.03</v>
      </c>
      <c r="AK53" s="1">
        <v>17472</v>
      </c>
      <c r="AL53" s="1">
        <v>1288</v>
      </c>
      <c r="AM53" s="1">
        <v>18760</v>
      </c>
      <c r="AN53" s="1">
        <v>156270</v>
      </c>
      <c r="AO53" s="1">
        <v>17401</v>
      </c>
      <c r="AP53" s="1">
        <v>173671</v>
      </c>
      <c r="AQ53" s="1">
        <v>2322013</v>
      </c>
      <c r="AR53" s="1">
        <v>309161</v>
      </c>
      <c r="AS53" s="1">
        <v>2631174</v>
      </c>
      <c r="AT53">
        <v>1771</v>
      </c>
      <c r="AU53">
        <v>1640</v>
      </c>
      <c r="AV53">
        <v>3411</v>
      </c>
      <c r="AW53">
        <v>51837</v>
      </c>
      <c r="AX53">
        <v>19034</v>
      </c>
      <c r="AY53">
        <v>70871</v>
      </c>
      <c r="AZ53">
        <v>913433</v>
      </c>
      <c r="BA53">
        <v>278633</v>
      </c>
      <c r="BB53">
        <v>1192066</v>
      </c>
    </row>
    <row r="54" spans="1:54" x14ac:dyDescent="0.25">
      <c r="A54" s="1" t="s">
        <v>14</v>
      </c>
      <c r="B54" s="1">
        <v>2022</v>
      </c>
      <c r="C54" s="1">
        <v>10.600000000000001</v>
      </c>
      <c r="D54" s="1">
        <v>13.824999999999999</v>
      </c>
      <c r="E54" s="1">
        <v>11.414999999999999</v>
      </c>
      <c r="F54" s="1">
        <v>10.7</v>
      </c>
      <c r="G54" s="1">
        <v>46.62</v>
      </c>
      <c r="H54" s="1">
        <v>69</v>
      </c>
      <c r="I54" s="1">
        <v>104</v>
      </c>
      <c r="J54" s="1">
        <v>2671</v>
      </c>
      <c r="K54" s="1">
        <v>1757</v>
      </c>
      <c r="L54" s="1">
        <v>42808</v>
      </c>
      <c r="M54" s="1">
        <v>17232</v>
      </c>
      <c r="N54" s="1">
        <f t="shared" si="8"/>
        <v>173</v>
      </c>
      <c r="O54" s="1">
        <f t="shared" si="9"/>
        <v>4428</v>
      </c>
      <c r="P54" s="1">
        <f t="shared" si="10"/>
        <v>60040</v>
      </c>
      <c r="Q54" s="1">
        <v>50</v>
      </c>
      <c r="R54" s="1">
        <v>162</v>
      </c>
      <c r="S54" s="1">
        <v>3276</v>
      </c>
      <c r="T54" s="1">
        <v>3442</v>
      </c>
      <c r="U54" s="1">
        <v>50598</v>
      </c>
      <c r="V54" s="1">
        <v>36287</v>
      </c>
      <c r="W54" s="1">
        <f t="shared" si="11"/>
        <v>212</v>
      </c>
      <c r="X54" s="1">
        <f t="shared" si="12"/>
        <v>6718</v>
      </c>
      <c r="Y54" s="1">
        <f t="shared" si="13"/>
        <v>86885</v>
      </c>
      <c r="Z54" s="1">
        <v>10.06</v>
      </c>
      <c r="AA54" s="1">
        <v>9.4499999999999993</v>
      </c>
      <c r="AB54" s="1">
        <f t="shared" si="14"/>
        <v>9.754999999999999</v>
      </c>
      <c r="AC54" s="1">
        <v>15.68</v>
      </c>
      <c r="AD54" s="1">
        <v>15.65</v>
      </c>
      <c r="AE54" s="1">
        <f t="shared" si="15"/>
        <v>15.664999999999999</v>
      </c>
      <c r="AF54" s="1">
        <f t="shared" si="15"/>
        <v>15.657499999999999</v>
      </c>
      <c r="AG54" s="1">
        <v>99.59</v>
      </c>
      <c r="AH54" s="1">
        <v>99.01</v>
      </c>
      <c r="AI54" s="1">
        <v>89.95</v>
      </c>
      <c r="AJ54" s="1">
        <v>56.69</v>
      </c>
      <c r="AK54" s="1">
        <v>1423</v>
      </c>
      <c r="AL54" s="1">
        <v>425</v>
      </c>
      <c r="AM54" s="1">
        <v>1848</v>
      </c>
      <c r="AN54" s="1">
        <v>14788</v>
      </c>
      <c r="AO54" s="1">
        <v>5667</v>
      </c>
      <c r="AP54" s="1">
        <v>20455</v>
      </c>
      <c r="AQ54" s="1">
        <v>190728</v>
      </c>
      <c r="AR54" s="1">
        <v>83710</v>
      </c>
      <c r="AS54" s="1">
        <v>274438</v>
      </c>
      <c r="AT54">
        <v>214</v>
      </c>
      <c r="AU54">
        <v>237</v>
      </c>
      <c r="AV54">
        <v>451</v>
      </c>
      <c r="AW54">
        <v>5732</v>
      </c>
      <c r="AX54">
        <v>3355</v>
      </c>
      <c r="AY54">
        <v>9087</v>
      </c>
      <c r="AZ54">
        <v>92111</v>
      </c>
      <c r="BA54">
        <v>41026</v>
      </c>
      <c r="BB54">
        <v>133137</v>
      </c>
    </row>
    <row r="55" spans="1:54" x14ac:dyDescent="0.25">
      <c r="A55" s="1" t="s">
        <v>15</v>
      </c>
      <c r="B55" s="1">
        <v>2022</v>
      </c>
      <c r="C55" s="1">
        <v>7.7450000000000001</v>
      </c>
      <c r="D55" s="1">
        <v>13.795</v>
      </c>
      <c r="E55" s="1">
        <v>10.435</v>
      </c>
      <c r="F55" s="1">
        <v>22.07</v>
      </c>
      <c r="G55" s="1">
        <v>36.14</v>
      </c>
      <c r="H55" s="1">
        <v>423</v>
      </c>
      <c r="I55" s="1">
        <v>1095</v>
      </c>
      <c r="J55" s="1">
        <v>19683</v>
      </c>
      <c r="K55" s="1">
        <v>14628</v>
      </c>
      <c r="L55" s="1">
        <v>343552</v>
      </c>
      <c r="M55" s="1">
        <v>194163</v>
      </c>
      <c r="N55" s="1">
        <f t="shared" si="8"/>
        <v>1518</v>
      </c>
      <c r="O55" s="1">
        <f t="shared" si="9"/>
        <v>34311</v>
      </c>
      <c r="P55" s="1">
        <f t="shared" si="10"/>
        <v>537715</v>
      </c>
      <c r="Q55" s="1">
        <v>297</v>
      </c>
      <c r="R55" s="1">
        <v>1852</v>
      </c>
      <c r="S55" s="1">
        <v>20063</v>
      </c>
      <c r="T55" s="1">
        <v>28696</v>
      </c>
      <c r="U55" s="1">
        <v>343774</v>
      </c>
      <c r="V55" s="1">
        <v>426456</v>
      </c>
      <c r="W55" s="1">
        <f t="shared" si="11"/>
        <v>2149</v>
      </c>
      <c r="X55" s="1">
        <f t="shared" si="12"/>
        <v>48759</v>
      </c>
      <c r="Y55" s="1">
        <f t="shared" si="13"/>
        <v>770230</v>
      </c>
      <c r="Z55" s="1">
        <v>8.42</v>
      </c>
      <c r="AA55" s="1">
        <v>7.65</v>
      </c>
      <c r="AB55" s="1">
        <f t="shared" si="14"/>
        <v>8.0350000000000001</v>
      </c>
      <c r="AC55" s="1">
        <v>13.26</v>
      </c>
      <c r="AD55" s="1">
        <v>13.59</v>
      </c>
      <c r="AE55" s="1">
        <f t="shared" si="15"/>
        <v>13.425000000000001</v>
      </c>
      <c r="AF55" s="1">
        <f t="shared" si="15"/>
        <v>13.5075</v>
      </c>
      <c r="AG55" s="1">
        <v>99.14</v>
      </c>
      <c r="AH55" s="1">
        <v>97.64</v>
      </c>
      <c r="AI55" s="1">
        <v>73.400000000000006</v>
      </c>
      <c r="AJ55" s="1">
        <v>26.87</v>
      </c>
      <c r="AK55" s="1">
        <v>16980</v>
      </c>
      <c r="AL55" s="1">
        <v>2027</v>
      </c>
      <c r="AM55" s="1">
        <v>19007</v>
      </c>
      <c r="AN55" s="1">
        <v>161954</v>
      </c>
      <c r="AO55" s="1">
        <v>24844</v>
      </c>
      <c r="AP55" s="1">
        <v>186798</v>
      </c>
      <c r="AQ55" s="1">
        <v>2184504</v>
      </c>
      <c r="AR55" s="1">
        <v>395409</v>
      </c>
      <c r="AS55" s="1">
        <v>2579913</v>
      </c>
      <c r="AT55">
        <v>1731</v>
      </c>
      <c r="AU55">
        <v>3210</v>
      </c>
      <c r="AV55">
        <v>4941</v>
      </c>
      <c r="AW55">
        <v>49134</v>
      </c>
      <c r="AX55">
        <v>31833</v>
      </c>
      <c r="AY55">
        <v>80967</v>
      </c>
      <c r="AZ55">
        <v>809355</v>
      </c>
      <c r="BA55">
        <v>412770</v>
      </c>
      <c r="BB55">
        <v>1222125</v>
      </c>
    </row>
    <row r="56" spans="1:54" x14ac:dyDescent="0.25">
      <c r="A56" s="1" t="s">
        <v>16</v>
      </c>
      <c r="B56" s="1">
        <v>2022</v>
      </c>
      <c r="C56" s="1">
        <v>5.8100000000000005</v>
      </c>
      <c r="D56" s="1">
        <v>7.375</v>
      </c>
      <c r="E56" s="1">
        <v>6.2</v>
      </c>
      <c r="F56" s="1">
        <v>27.29</v>
      </c>
      <c r="G56" s="1">
        <v>52.04</v>
      </c>
      <c r="H56" s="1">
        <v>161</v>
      </c>
      <c r="I56" s="1">
        <v>442</v>
      </c>
      <c r="J56" s="1">
        <v>6764</v>
      </c>
      <c r="K56" s="1">
        <v>5695</v>
      </c>
      <c r="L56" s="1">
        <v>139369</v>
      </c>
      <c r="M56" s="1">
        <v>78017</v>
      </c>
      <c r="N56" s="1">
        <f t="shared" si="8"/>
        <v>603</v>
      </c>
      <c r="O56" s="1">
        <f t="shared" si="9"/>
        <v>12459</v>
      </c>
      <c r="P56" s="1">
        <f t="shared" si="10"/>
        <v>217386</v>
      </c>
      <c r="Q56" s="1">
        <v>91</v>
      </c>
      <c r="R56" s="1">
        <v>648</v>
      </c>
      <c r="S56" s="1">
        <v>4406</v>
      </c>
      <c r="T56" s="1">
        <v>9313</v>
      </c>
      <c r="U56" s="1">
        <v>88794</v>
      </c>
      <c r="V56" s="1">
        <v>160573</v>
      </c>
      <c r="W56" s="1">
        <f t="shared" si="11"/>
        <v>739</v>
      </c>
      <c r="X56" s="1">
        <f t="shared" si="12"/>
        <v>13719</v>
      </c>
      <c r="Y56" s="1">
        <f t="shared" si="13"/>
        <v>249367</v>
      </c>
      <c r="Z56" s="1">
        <v>9.48</v>
      </c>
      <c r="AA56" s="1">
        <v>8.7200000000000006</v>
      </c>
      <c r="AB56" s="1">
        <f t="shared" si="14"/>
        <v>9.1000000000000014</v>
      </c>
      <c r="AC56" s="1">
        <v>12.92</v>
      </c>
      <c r="AD56" s="1">
        <v>13.23</v>
      </c>
      <c r="AE56" s="1">
        <f t="shared" si="15"/>
        <v>13.074999999999999</v>
      </c>
      <c r="AF56" s="1">
        <f t="shared" si="15"/>
        <v>13.1525</v>
      </c>
      <c r="AG56" s="1">
        <v>99.33</v>
      </c>
      <c r="AH56" s="1">
        <v>96.39</v>
      </c>
      <c r="AI56" s="1">
        <v>69.22</v>
      </c>
      <c r="AJ56" s="1">
        <v>23.67</v>
      </c>
      <c r="AK56" s="1">
        <v>3895</v>
      </c>
      <c r="AL56" s="1">
        <v>739</v>
      </c>
      <c r="AM56" s="1">
        <v>4634</v>
      </c>
      <c r="AN56" s="1">
        <v>45266</v>
      </c>
      <c r="AO56" s="1">
        <v>11621</v>
      </c>
      <c r="AP56" s="1">
        <v>56887</v>
      </c>
      <c r="AQ56" s="1">
        <v>996698</v>
      </c>
      <c r="AR56" s="1">
        <v>189185</v>
      </c>
      <c r="AS56" s="1">
        <v>1185883</v>
      </c>
      <c r="AT56">
        <v>573</v>
      </c>
      <c r="AU56">
        <v>1008</v>
      </c>
      <c r="AV56">
        <v>1581</v>
      </c>
      <c r="AW56">
        <v>13693</v>
      </c>
      <c r="AX56">
        <v>10081</v>
      </c>
      <c r="AY56">
        <v>23774</v>
      </c>
      <c r="AZ56">
        <v>268385</v>
      </c>
      <c r="BA56">
        <v>166003</v>
      </c>
      <c r="BB56">
        <v>434388</v>
      </c>
    </row>
    <row r="57" spans="1:54" x14ac:dyDescent="0.25">
      <c r="A57" s="1" t="s">
        <v>17</v>
      </c>
      <c r="B57" s="1">
        <v>2022</v>
      </c>
      <c r="C57" s="1">
        <v>4.1750000000000007</v>
      </c>
      <c r="D57" s="1">
        <v>5.4849999999999994</v>
      </c>
      <c r="E57" s="1">
        <v>4.5500000000000007</v>
      </c>
      <c r="F57" s="1">
        <v>11.32</v>
      </c>
      <c r="G57" s="1">
        <v>46.57</v>
      </c>
      <c r="H57" s="1">
        <v>88</v>
      </c>
      <c r="I57" s="1">
        <v>75</v>
      </c>
      <c r="J57" s="1">
        <v>4554</v>
      </c>
      <c r="K57" s="1">
        <v>1162</v>
      </c>
      <c r="L57" s="1">
        <v>79732</v>
      </c>
      <c r="M57" s="1">
        <v>14293</v>
      </c>
      <c r="N57" s="1">
        <f t="shared" si="8"/>
        <v>163</v>
      </c>
      <c r="O57" s="1">
        <f t="shared" si="9"/>
        <v>5716</v>
      </c>
      <c r="P57" s="1">
        <f t="shared" si="10"/>
        <v>94025</v>
      </c>
      <c r="Q57" s="1">
        <v>54</v>
      </c>
      <c r="R57" s="1">
        <v>117</v>
      </c>
      <c r="S57" s="1">
        <v>3436</v>
      </c>
      <c r="T57" s="1">
        <v>2445</v>
      </c>
      <c r="U57" s="1">
        <v>52391</v>
      </c>
      <c r="V57" s="1">
        <v>35608</v>
      </c>
      <c r="W57" s="1">
        <f t="shared" si="11"/>
        <v>171</v>
      </c>
      <c r="X57" s="1">
        <f t="shared" si="12"/>
        <v>5881</v>
      </c>
      <c r="Y57" s="1">
        <f t="shared" si="13"/>
        <v>87999</v>
      </c>
      <c r="Z57" s="1">
        <v>9.99</v>
      </c>
      <c r="AA57" s="1">
        <v>8.7100000000000009</v>
      </c>
      <c r="AB57" s="1">
        <f t="shared" si="14"/>
        <v>9.3500000000000014</v>
      </c>
      <c r="AC57" s="1">
        <v>13.5</v>
      </c>
      <c r="AD57" s="1">
        <v>13.47</v>
      </c>
      <c r="AE57" s="1">
        <f t="shared" si="15"/>
        <v>13.484999999999999</v>
      </c>
      <c r="AF57" s="1">
        <f t="shared" si="15"/>
        <v>13.477499999999999</v>
      </c>
      <c r="AG57" s="1">
        <v>99.55</v>
      </c>
      <c r="AH57" s="1">
        <v>97.85</v>
      </c>
      <c r="AI57" s="1">
        <v>83.84</v>
      </c>
      <c r="AJ57" s="1">
        <v>32.9</v>
      </c>
      <c r="AK57" s="1">
        <v>2265</v>
      </c>
      <c r="AL57" s="1">
        <v>151</v>
      </c>
      <c r="AM57" s="1">
        <v>2416</v>
      </c>
      <c r="AN57" s="1">
        <v>23162</v>
      </c>
      <c r="AO57" s="1">
        <v>2557</v>
      </c>
      <c r="AP57" s="1">
        <v>25719</v>
      </c>
      <c r="AQ57" s="1">
        <v>343632</v>
      </c>
      <c r="AR57" s="1">
        <v>39232</v>
      </c>
      <c r="AS57" s="1">
        <v>382864</v>
      </c>
      <c r="AT57">
        <v>273</v>
      </c>
      <c r="AU57">
        <v>130</v>
      </c>
      <c r="AV57">
        <v>403</v>
      </c>
      <c r="AW57">
        <v>9398</v>
      </c>
      <c r="AX57">
        <v>1862</v>
      </c>
      <c r="AY57">
        <v>11260</v>
      </c>
      <c r="AZ57">
        <v>160227</v>
      </c>
      <c r="BA57">
        <v>27318</v>
      </c>
      <c r="BB57">
        <v>187545</v>
      </c>
    </row>
    <row r="58" spans="1:54" x14ac:dyDescent="0.25">
      <c r="A58" s="1" t="s">
        <v>18</v>
      </c>
      <c r="B58" s="1">
        <v>2022</v>
      </c>
      <c r="C58" s="1">
        <v>14.04</v>
      </c>
      <c r="D58" s="1">
        <v>13.45</v>
      </c>
      <c r="E58" s="1">
        <v>13.75</v>
      </c>
      <c r="F58" s="1">
        <v>23.3</v>
      </c>
      <c r="G58" s="1">
        <v>24.64</v>
      </c>
      <c r="H58" s="1">
        <v>150</v>
      </c>
      <c r="I58" s="1">
        <v>193</v>
      </c>
      <c r="J58" s="1">
        <v>7274</v>
      </c>
      <c r="K58" s="1">
        <v>2113</v>
      </c>
      <c r="L58" s="1">
        <v>90179</v>
      </c>
      <c r="M58" s="1">
        <v>20036</v>
      </c>
      <c r="N58" s="1">
        <f t="shared" si="8"/>
        <v>343</v>
      </c>
      <c r="O58" s="1">
        <f t="shared" si="9"/>
        <v>9387</v>
      </c>
      <c r="P58" s="1">
        <f t="shared" si="10"/>
        <v>110215</v>
      </c>
      <c r="Q58" s="1">
        <v>99</v>
      </c>
      <c r="R58" s="1">
        <v>238</v>
      </c>
      <c r="S58" s="1">
        <v>5301</v>
      </c>
      <c r="T58" s="1">
        <v>2613</v>
      </c>
      <c r="U58" s="1">
        <v>55150</v>
      </c>
      <c r="V58" s="1">
        <v>23881</v>
      </c>
      <c r="W58" s="1">
        <f t="shared" si="11"/>
        <v>337</v>
      </c>
      <c r="X58" s="1">
        <f t="shared" si="12"/>
        <v>7914</v>
      </c>
      <c r="Y58" s="1">
        <f t="shared" si="13"/>
        <v>79031</v>
      </c>
      <c r="Z58" s="1">
        <v>8.16</v>
      </c>
      <c r="AA58" s="1">
        <v>6.92</v>
      </c>
      <c r="AB58" s="1">
        <f t="shared" si="14"/>
        <v>7.54</v>
      </c>
      <c r="AC58" s="1">
        <v>14.09</v>
      </c>
      <c r="AD58" s="1">
        <v>13.95</v>
      </c>
      <c r="AE58" s="1">
        <f t="shared" si="15"/>
        <v>14.02</v>
      </c>
      <c r="AF58" s="1">
        <f t="shared" si="15"/>
        <v>13.984999999999999</v>
      </c>
      <c r="AG58" s="1">
        <v>99.17</v>
      </c>
      <c r="AH58" s="1">
        <v>97.74</v>
      </c>
      <c r="AI58" s="1">
        <v>77.430000000000007</v>
      </c>
      <c r="AJ58" s="1">
        <v>26.93</v>
      </c>
      <c r="AK58" s="1">
        <v>3011</v>
      </c>
      <c r="AL58" s="1">
        <v>298</v>
      </c>
      <c r="AM58" s="1">
        <v>3309</v>
      </c>
      <c r="AN58" s="1">
        <v>39286</v>
      </c>
      <c r="AO58" s="1">
        <v>2873</v>
      </c>
      <c r="AP58" s="1">
        <v>42159</v>
      </c>
      <c r="AQ58" s="1">
        <v>472110</v>
      </c>
      <c r="AR58" s="1">
        <v>37359</v>
      </c>
      <c r="AS58" s="1">
        <v>509469</v>
      </c>
      <c r="AT58">
        <v>604</v>
      </c>
      <c r="AU58">
        <v>422</v>
      </c>
      <c r="AV58">
        <v>1026</v>
      </c>
      <c r="AW58">
        <v>17109</v>
      </c>
      <c r="AX58">
        <v>4040</v>
      </c>
      <c r="AY58">
        <v>21149</v>
      </c>
      <c r="AZ58">
        <v>132157</v>
      </c>
      <c r="BA58">
        <v>37428</v>
      </c>
      <c r="BB58">
        <v>169585</v>
      </c>
    </row>
    <row r="59" spans="1:54" x14ac:dyDescent="0.25">
      <c r="A59" s="1" t="s">
        <v>19</v>
      </c>
      <c r="B59" s="1">
        <v>2022</v>
      </c>
      <c r="C59" s="1">
        <v>8.92</v>
      </c>
      <c r="D59" s="1">
        <v>23.984999999999999</v>
      </c>
      <c r="E59" s="1">
        <v>20.14</v>
      </c>
      <c r="F59" s="1">
        <v>18.84</v>
      </c>
      <c r="G59" s="1">
        <v>24.76</v>
      </c>
      <c r="H59" s="1">
        <v>386</v>
      </c>
      <c r="I59" s="1">
        <v>212</v>
      </c>
      <c r="J59" s="1">
        <v>11699</v>
      </c>
      <c r="K59" s="1">
        <v>4716</v>
      </c>
      <c r="L59" s="1">
        <v>143294</v>
      </c>
      <c r="M59" s="1">
        <v>60944</v>
      </c>
      <c r="N59" s="1">
        <f t="shared" si="8"/>
        <v>598</v>
      </c>
      <c r="O59" s="1">
        <f t="shared" si="9"/>
        <v>16415</v>
      </c>
      <c r="P59" s="1">
        <f t="shared" si="10"/>
        <v>204238</v>
      </c>
      <c r="Q59" s="1">
        <v>165</v>
      </c>
      <c r="R59" s="1">
        <v>157</v>
      </c>
      <c r="S59" s="1">
        <v>5512</v>
      </c>
      <c r="T59" s="1">
        <v>3078</v>
      </c>
      <c r="U59" s="1">
        <v>60410</v>
      </c>
      <c r="V59" s="1">
        <v>43626</v>
      </c>
      <c r="W59" s="1">
        <f t="shared" si="11"/>
        <v>322</v>
      </c>
      <c r="X59" s="1">
        <f t="shared" si="12"/>
        <v>8590</v>
      </c>
      <c r="Y59" s="1">
        <f t="shared" si="13"/>
        <v>104036</v>
      </c>
      <c r="Z59" s="1">
        <v>8.1300000000000008</v>
      </c>
      <c r="AA59" s="1">
        <v>7.51</v>
      </c>
      <c r="AB59" s="1">
        <f t="shared" si="14"/>
        <v>7.82</v>
      </c>
      <c r="AC59" s="1">
        <v>13.11</v>
      </c>
      <c r="AD59" s="1">
        <v>13.53</v>
      </c>
      <c r="AE59" s="1">
        <f t="shared" si="15"/>
        <v>13.32</v>
      </c>
      <c r="AF59" s="1">
        <f t="shared" si="15"/>
        <v>13.425000000000001</v>
      </c>
      <c r="AG59" s="1">
        <v>98.59</v>
      </c>
      <c r="AH59" s="1">
        <v>94.83</v>
      </c>
      <c r="AI59" s="1">
        <v>75.55</v>
      </c>
      <c r="AJ59" s="1">
        <v>32.119999999999997</v>
      </c>
      <c r="AK59" s="1">
        <v>3378</v>
      </c>
      <c r="AL59" s="1">
        <v>1825</v>
      </c>
      <c r="AM59" s="1">
        <v>5203</v>
      </c>
      <c r="AN59" s="1">
        <v>36362</v>
      </c>
      <c r="AO59" s="1">
        <v>17923</v>
      </c>
      <c r="AP59" s="1">
        <v>54285</v>
      </c>
      <c r="AQ59" s="1">
        <v>417555</v>
      </c>
      <c r="AR59" s="1">
        <v>251670</v>
      </c>
      <c r="AS59" s="1">
        <v>669225</v>
      </c>
      <c r="AT59">
        <v>1366</v>
      </c>
      <c r="AU59">
        <v>438</v>
      </c>
      <c r="AV59">
        <v>1804</v>
      </c>
      <c r="AW59">
        <v>24558</v>
      </c>
      <c r="AX59">
        <v>5932</v>
      </c>
      <c r="AY59">
        <v>30490</v>
      </c>
      <c r="AZ59">
        <v>250759</v>
      </c>
      <c r="BA59">
        <v>76353</v>
      </c>
      <c r="BB59">
        <v>327112</v>
      </c>
    </row>
    <row r="60" spans="1:54" x14ac:dyDescent="0.25">
      <c r="A60" s="1" t="s">
        <v>20</v>
      </c>
      <c r="B60" s="1">
        <v>2022</v>
      </c>
      <c r="C60" s="1">
        <v>4.5350000000000001</v>
      </c>
      <c r="D60" s="1">
        <v>8.08</v>
      </c>
      <c r="E60" s="1">
        <v>6.77</v>
      </c>
      <c r="F60" s="1">
        <v>24.35</v>
      </c>
      <c r="G60" s="1">
        <v>41.23</v>
      </c>
      <c r="H60" s="1">
        <v>273</v>
      </c>
      <c r="I60" s="1">
        <v>186</v>
      </c>
      <c r="J60" s="1">
        <v>6077</v>
      </c>
      <c r="K60" s="1">
        <v>2043</v>
      </c>
      <c r="L60" s="1">
        <v>100690</v>
      </c>
      <c r="M60" s="1">
        <v>29550</v>
      </c>
      <c r="N60" s="1">
        <f t="shared" si="8"/>
        <v>459</v>
      </c>
      <c r="O60" s="1">
        <f t="shared" si="9"/>
        <v>8120</v>
      </c>
      <c r="P60" s="1">
        <f t="shared" si="10"/>
        <v>130240</v>
      </c>
      <c r="Q60" s="1">
        <v>110</v>
      </c>
      <c r="R60" s="1">
        <v>118</v>
      </c>
      <c r="S60" s="1">
        <v>3158</v>
      </c>
      <c r="T60" s="1">
        <v>1407</v>
      </c>
      <c r="U60" s="1">
        <v>56239</v>
      </c>
      <c r="V60" s="1">
        <v>19663</v>
      </c>
      <c r="W60" s="1">
        <f t="shared" si="11"/>
        <v>228</v>
      </c>
      <c r="X60" s="1">
        <f t="shared" si="12"/>
        <v>4565</v>
      </c>
      <c r="Y60" s="1">
        <f t="shared" si="13"/>
        <v>75902</v>
      </c>
      <c r="Z60" s="1">
        <v>7.95</v>
      </c>
      <c r="AA60" s="1">
        <v>7.18</v>
      </c>
      <c r="AB60" s="1">
        <f t="shared" si="14"/>
        <v>7.5649999999999995</v>
      </c>
      <c r="AC60" s="1">
        <v>12.63</v>
      </c>
      <c r="AD60" s="1">
        <v>12.99</v>
      </c>
      <c r="AE60" s="1">
        <f t="shared" si="15"/>
        <v>12.81</v>
      </c>
      <c r="AF60" s="1">
        <f t="shared" si="15"/>
        <v>12.9</v>
      </c>
      <c r="AG60" s="1">
        <v>98.73</v>
      </c>
      <c r="AH60" s="1">
        <v>92.64</v>
      </c>
      <c r="AI60" s="1">
        <v>68.72</v>
      </c>
      <c r="AJ60" s="1">
        <v>25.88</v>
      </c>
      <c r="AK60" s="1">
        <v>4139</v>
      </c>
      <c r="AL60" s="1">
        <v>299</v>
      </c>
      <c r="AM60" s="1">
        <v>4438</v>
      </c>
      <c r="AN60" s="1">
        <v>36209</v>
      </c>
      <c r="AO60" s="1">
        <v>3331</v>
      </c>
      <c r="AP60" s="1">
        <v>39540</v>
      </c>
      <c r="AQ60" s="1">
        <v>504176</v>
      </c>
      <c r="AR60" s="1">
        <v>61472</v>
      </c>
      <c r="AS60" s="1">
        <v>565648</v>
      </c>
      <c r="AT60">
        <v>1023</v>
      </c>
      <c r="AU60">
        <v>340</v>
      </c>
      <c r="AV60">
        <v>1363</v>
      </c>
      <c r="AW60">
        <v>13999</v>
      </c>
      <c r="AX60">
        <v>2719</v>
      </c>
      <c r="AY60">
        <v>16718</v>
      </c>
      <c r="AZ60">
        <v>184443</v>
      </c>
      <c r="BA60">
        <v>43632</v>
      </c>
      <c r="BB60">
        <v>228075</v>
      </c>
    </row>
    <row r="61" spans="1:54" x14ac:dyDescent="0.25">
      <c r="A61" s="1" t="s">
        <v>21</v>
      </c>
      <c r="B61" s="1">
        <v>2022</v>
      </c>
      <c r="C61" s="1">
        <v>5.13</v>
      </c>
      <c r="D61" s="1">
        <v>5.34</v>
      </c>
      <c r="E61" s="1">
        <v>5.25</v>
      </c>
      <c r="F61" s="1">
        <v>26.54</v>
      </c>
      <c r="G61" s="1">
        <v>48.5</v>
      </c>
      <c r="H61" s="1">
        <v>181</v>
      </c>
      <c r="I61" s="1">
        <v>61</v>
      </c>
      <c r="J61" s="1">
        <v>4463</v>
      </c>
      <c r="K61" s="1">
        <v>661</v>
      </c>
      <c r="L61" s="1">
        <v>54913</v>
      </c>
      <c r="M61" s="1">
        <v>6201</v>
      </c>
      <c r="N61" s="1">
        <f t="shared" si="8"/>
        <v>242</v>
      </c>
      <c r="O61" s="1">
        <f t="shared" si="9"/>
        <v>5124</v>
      </c>
      <c r="P61" s="1">
        <f t="shared" si="10"/>
        <v>61114</v>
      </c>
      <c r="Q61" s="1">
        <v>94</v>
      </c>
      <c r="R61" s="1">
        <v>45</v>
      </c>
      <c r="S61" s="1">
        <v>2551</v>
      </c>
      <c r="T61" s="1">
        <v>616</v>
      </c>
      <c r="U61" s="1">
        <v>27875</v>
      </c>
      <c r="V61" s="1">
        <v>6047</v>
      </c>
      <c r="W61" s="1">
        <f t="shared" si="11"/>
        <v>139</v>
      </c>
      <c r="X61" s="1">
        <f t="shared" si="12"/>
        <v>3167</v>
      </c>
      <c r="Y61" s="1">
        <f t="shared" si="13"/>
        <v>33922</v>
      </c>
      <c r="Z61" s="1">
        <v>8.9700000000000006</v>
      </c>
      <c r="AA61" s="1">
        <v>8.43</v>
      </c>
      <c r="AB61" s="1">
        <f t="shared" si="14"/>
        <v>8.6999999999999993</v>
      </c>
      <c r="AC61" s="1">
        <v>12.86</v>
      </c>
      <c r="AD61" s="1">
        <v>12.73</v>
      </c>
      <c r="AE61" s="1">
        <f t="shared" si="15"/>
        <v>12.795</v>
      </c>
      <c r="AF61" s="1">
        <f t="shared" si="15"/>
        <v>12.762499999999999</v>
      </c>
      <c r="AG61" s="1">
        <v>99.2</v>
      </c>
      <c r="AH61" s="1">
        <v>94.61</v>
      </c>
      <c r="AI61" s="1">
        <v>66.319999999999993</v>
      </c>
      <c r="AJ61" s="1">
        <v>24.94</v>
      </c>
      <c r="AK61" s="1">
        <v>2412</v>
      </c>
      <c r="AL61" s="1">
        <v>236</v>
      </c>
      <c r="AM61" s="1">
        <v>2648</v>
      </c>
      <c r="AN61" s="1">
        <v>22934</v>
      </c>
      <c r="AO61" s="1">
        <v>2551</v>
      </c>
      <c r="AP61" s="1">
        <v>25485</v>
      </c>
      <c r="AQ61" s="1">
        <v>232282</v>
      </c>
      <c r="AR61" s="1">
        <v>42758</v>
      </c>
      <c r="AS61" s="1">
        <v>275040</v>
      </c>
      <c r="AT61">
        <v>710</v>
      </c>
      <c r="AU61">
        <v>148</v>
      </c>
      <c r="AV61">
        <v>858</v>
      </c>
      <c r="AW61">
        <v>8727</v>
      </c>
      <c r="AX61">
        <v>1409</v>
      </c>
      <c r="AY61">
        <v>10136</v>
      </c>
      <c r="AZ61">
        <v>87292</v>
      </c>
      <c r="BA61">
        <v>18130</v>
      </c>
      <c r="BB61">
        <v>105422</v>
      </c>
    </row>
    <row r="62" spans="1:54" x14ac:dyDescent="0.25">
      <c r="A62" s="1" t="s">
        <v>22</v>
      </c>
      <c r="B62" s="1">
        <v>2022</v>
      </c>
      <c r="C62" s="1">
        <v>3.835</v>
      </c>
      <c r="D62" s="1">
        <v>5.24</v>
      </c>
      <c r="E62" s="1">
        <v>4.5500000000000007</v>
      </c>
      <c r="F62" s="1">
        <v>23.57</v>
      </c>
      <c r="G62" s="1">
        <v>42.7</v>
      </c>
      <c r="H62" s="1">
        <v>142</v>
      </c>
      <c r="I62" s="1">
        <v>63</v>
      </c>
      <c r="J62" s="1">
        <v>4279</v>
      </c>
      <c r="K62" s="1">
        <v>754</v>
      </c>
      <c r="L62" s="1">
        <v>59613</v>
      </c>
      <c r="M62" s="1">
        <v>6852</v>
      </c>
      <c r="N62" s="1">
        <f t="shared" si="8"/>
        <v>205</v>
      </c>
      <c r="O62" s="1">
        <f t="shared" si="9"/>
        <v>5033</v>
      </c>
      <c r="P62" s="1">
        <f t="shared" si="10"/>
        <v>66465</v>
      </c>
      <c r="Q62" s="1">
        <v>63</v>
      </c>
      <c r="R62" s="1">
        <v>63</v>
      </c>
      <c r="S62" s="1">
        <v>3046</v>
      </c>
      <c r="T62" s="1">
        <v>1096</v>
      </c>
      <c r="U62" s="1">
        <v>42514</v>
      </c>
      <c r="V62" s="1">
        <v>12805</v>
      </c>
      <c r="W62" s="1">
        <f t="shared" si="11"/>
        <v>126</v>
      </c>
      <c r="X62" s="1">
        <f t="shared" si="12"/>
        <v>4142</v>
      </c>
      <c r="Y62" s="1">
        <f t="shared" si="13"/>
        <v>55319</v>
      </c>
      <c r="Z62" s="1">
        <v>8.7799999999999994</v>
      </c>
      <c r="AA62" s="1">
        <v>8.15</v>
      </c>
      <c r="AB62" s="1">
        <f t="shared" si="14"/>
        <v>8.4649999999999999</v>
      </c>
      <c r="AC62" s="1">
        <v>12.79</v>
      </c>
      <c r="AD62" s="1">
        <v>12.88</v>
      </c>
      <c r="AE62" s="1">
        <f t="shared" si="15"/>
        <v>12.835000000000001</v>
      </c>
      <c r="AF62" s="1">
        <f t="shared" si="15"/>
        <v>12.857500000000002</v>
      </c>
      <c r="AG62" s="1">
        <v>99.43</v>
      </c>
      <c r="AH62" s="1">
        <v>94.01</v>
      </c>
      <c r="AI62" s="1">
        <v>69.88</v>
      </c>
      <c r="AJ62" s="1">
        <v>27.64</v>
      </c>
      <c r="AK62" s="1">
        <v>2740</v>
      </c>
      <c r="AL62" s="1">
        <v>175</v>
      </c>
      <c r="AM62" s="1">
        <v>2915</v>
      </c>
      <c r="AN62" s="1">
        <v>27785</v>
      </c>
      <c r="AO62" s="1">
        <v>2397</v>
      </c>
      <c r="AP62" s="1">
        <v>30182</v>
      </c>
      <c r="AQ62" s="1">
        <v>323293</v>
      </c>
      <c r="AR62" s="1">
        <v>33626</v>
      </c>
      <c r="AS62" s="1">
        <v>356919</v>
      </c>
      <c r="AT62">
        <v>523</v>
      </c>
      <c r="AU62">
        <v>102</v>
      </c>
      <c r="AV62">
        <v>625</v>
      </c>
      <c r="AW62">
        <v>8226</v>
      </c>
      <c r="AX62">
        <v>1133</v>
      </c>
      <c r="AY62">
        <v>9359</v>
      </c>
      <c r="AZ62">
        <v>97661</v>
      </c>
      <c r="BA62">
        <v>13961</v>
      </c>
      <c r="BB62">
        <v>111622</v>
      </c>
    </row>
    <row r="63" spans="1:54" x14ac:dyDescent="0.25">
      <c r="A63" s="1" t="s">
        <v>23</v>
      </c>
      <c r="B63" s="1">
        <v>2022</v>
      </c>
      <c r="C63" s="1">
        <v>4.8849999999999998</v>
      </c>
      <c r="D63" s="1">
        <v>9.6750000000000007</v>
      </c>
      <c r="E63" s="1">
        <v>6.375</v>
      </c>
      <c r="F63" s="1">
        <v>20.079999999999998</v>
      </c>
      <c r="G63" s="1">
        <v>55.74</v>
      </c>
      <c r="H63" s="1">
        <v>143</v>
      </c>
      <c r="I63" s="1">
        <v>90</v>
      </c>
      <c r="J63" s="1">
        <v>4147</v>
      </c>
      <c r="K63" s="1">
        <v>1048</v>
      </c>
      <c r="L63" s="1">
        <v>66986</v>
      </c>
      <c r="M63" s="1">
        <v>13234</v>
      </c>
      <c r="N63" s="1">
        <f t="shared" si="8"/>
        <v>233</v>
      </c>
      <c r="O63" s="1">
        <f t="shared" si="9"/>
        <v>5195</v>
      </c>
      <c r="P63" s="1">
        <f t="shared" si="10"/>
        <v>80220</v>
      </c>
      <c r="Q63" s="1">
        <v>87</v>
      </c>
      <c r="R63" s="1">
        <v>129</v>
      </c>
      <c r="S63" s="1">
        <v>3405</v>
      </c>
      <c r="T63" s="1">
        <v>1848</v>
      </c>
      <c r="U63" s="1">
        <v>52654</v>
      </c>
      <c r="V63" s="1">
        <v>28082</v>
      </c>
      <c r="W63" s="1">
        <f t="shared" si="11"/>
        <v>216</v>
      </c>
      <c r="X63" s="1">
        <f t="shared" si="12"/>
        <v>5253</v>
      </c>
      <c r="Y63" s="1">
        <f t="shared" si="13"/>
        <v>80736</v>
      </c>
      <c r="Z63" s="1">
        <v>10.24</v>
      </c>
      <c r="AA63" s="1">
        <v>9.7100000000000009</v>
      </c>
      <c r="AB63" s="1">
        <f t="shared" si="14"/>
        <v>9.9750000000000014</v>
      </c>
      <c r="AC63" s="1">
        <v>13.81</v>
      </c>
      <c r="AD63" s="1">
        <v>13.92</v>
      </c>
      <c r="AE63" s="1">
        <f t="shared" si="15"/>
        <v>13.865</v>
      </c>
      <c r="AF63" s="1">
        <f t="shared" si="15"/>
        <v>13.8925</v>
      </c>
      <c r="AG63" s="1">
        <v>99.57</v>
      </c>
      <c r="AH63" s="1">
        <v>98.75</v>
      </c>
      <c r="AI63" s="1">
        <v>81.430000000000007</v>
      </c>
      <c r="AJ63" s="1">
        <v>33.4</v>
      </c>
      <c r="AK63" s="1">
        <v>1652</v>
      </c>
      <c r="AL63" s="1">
        <v>267</v>
      </c>
      <c r="AM63" s="1">
        <v>1919</v>
      </c>
      <c r="AN63" s="1">
        <v>22416</v>
      </c>
      <c r="AO63" s="1">
        <v>3696</v>
      </c>
      <c r="AP63" s="1">
        <v>26112</v>
      </c>
      <c r="AQ63" s="1">
        <v>346884</v>
      </c>
      <c r="AR63" s="1">
        <v>65345</v>
      </c>
      <c r="AS63" s="1">
        <v>412229</v>
      </c>
      <c r="AT63">
        <v>451</v>
      </c>
      <c r="AU63">
        <v>232</v>
      </c>
      <c r="AV63">
        <v>683</v>
      </c>
      <c r="AW63">
        <v>8655</v>
      </c>
      <c r="AX63">
        <v>2252</v>
      </c>
      <c r="AY63">
        <v>10907</v>
      </c>
      <c r="AZ63">
        <v>127561</v>
      </c>
      <c r="BA63">
        <v>32730</v>
      </c>
      <c r="BB63">
        <v>160291</v>
      </c>
    </row>
    <row r="64" spans="1:54" x14ac:dyDescent="0.25">
      <c r="A64" s="1" t="s">
        <v>24</v>
      </c>
      <c r="B64" s="1">
        <v>2022</v>
      </c>
      <c r="C64" s="1">
        <v>5.62</v>
      </c>
      <c r="D64" s="1">
        <v>8.9499999999999993</v>
      </c>
      <c r="E64" s="1">
        <v>6.8149999999999995</v>
      </c>
      <c r="F64" s="1">
        <v>20.3</v>
      </c>
      <c r="G64" s="1">
        <v>51</v>
      </c>
      <c r="H64" s="1">
        <v>44</v>
      </c>
      <c r="I64" s="1">
        <v>23</v>
      </c>
      <c r="J64" s="1">
        <v>1150</v>
      </c>
      <c r="K64" s="1">
        <v>265</v>
      </c>
      <c r="L64" s="1">
        <v>15292</v>
      </c>
      <c r="M64" s="1">
        <v>2923</v>
      </c>
      <c r="N64" s="1">
        <f t="shared" si="8"/>
        <v>67</v>
      </c>
      <c r="O64" s="1">
        <f t="shared" si="9"/>
        <v>1415</v>
      </c>
      <c r="P64" s="1">
        <f t="shared" si="10"/>
        <v>18215</v>
      </c>
      <c r="Q64" s="1">
        <v>21</v>
      </c>
      <c r="R64" s="1">
        <v>11</v>
      </c>
      <c r="S64" s="1">
        <v>741</v>
      </c>
      <c r="T64" s="1">
        <v>128</v>
      </c>
      <c r="U64" s="1">
        <v>9409</v>
      </c>
      <c r="V64" s="1">
        <v>1040</v>
      </c>
      <c r="W64" s="1">
        <f t="shared" si="11"/>
        <v>32</v>
      </c>
      <c r="X64" s="1">
        <f t="shared" si="12"/>
        <v>869</v>
      </c>
      <c r="Y64" s="1">
        <f t="shared" si="13"/>
        <v>10449</v>
      </c>
      <c r="Z64" s="1">
        <v>9.77</v>
      </c>
      <c r="AA64" s="1">
        <v>9.09</v>
      </c>
      <c r="AB64" s="1">
        <f t="shared" si="14"/>
        <v>9.43</v>
      </c>
      <c r="AC64" s="1">
        <v>12.95</v>
      </c>
      <c r="AD64" s="1">
        <v>13.42</v>
      </c>
      <c r="AE64" s="1">
        <f t="shared" si="15"/>
        <v>13.184999999999999</v>
      </c>
      <c r="AF64" s="1">
        <f t="shared" si="15"/>
        <v>13.302499999999998</v>
      </c>
      <c r="AG64" s="1">
        <v>98.98</v>
      </c>
      <c r="AH64" s="1">
        <v>97.03</v>
      </c>
      <c r="AI64" s="1">
        <v>76.5</v>
      </c>
      <c r="AJ64" s="1">
        <v>29.01</v>
      </c>
      <c r="AK64" s="1">
        <v>437</v>
      </c>
      <c r="AL64" s="1">
        <v>48</v>
      </c>
      <c r="AM64" s="1">
        <v>485</v>
      </c>
      <c r="AN64" s="1">
        <v>5489</v>
      </c>
      <c r="AO64" s="1">
        <v>606</v>
      </c>
      <c r="AP64" s="1">
        <v>6095</v>
      </c>
      <c r="AQ64" s="1">
        <v>69072</v>
      </c>
      <c r="AR64" s="1">
        <v>9457</v>
      </c>
      <c r="AS64" s="1">
        <v>78529</v>
      </c>
      <c r="AT64">
        <v>156</v>
      </c>
      <c r="AU64">
        <v>36</v>
      </c>
      <c r="AV64">
        <v>192</v>
      </c>
      <c r="AW64">
        <v>2480</v>
      </c>
      <c r="AX64">
        <v>334</v>
      </c>
      <c r="AY64">
        <v>2814</v>
      </c>
      <c r="AZ64">
        <v>29278</v>
      </c>
      <c r="BA64">
        <v>3684</v>
      </c>
      <c r="BB64">
        <v>32962</v>
      </c>
    </row>
    <row r="65" spans="1:54" x14ac:dyDescent="0.25">
      <c r="A65" s="1" t="s">
        <v>25</v>
      </c>
      <c r="B65" s="1">
        <v>2022</v>
      </c>
      <c r="C65" s="1">
        <v>5.09</v>
      </c>
      <c r="D65" s="1">
        <v>9.9649999999999999</v>
      </c>
      <c r="E65" s="1">
        <v>7.3100000000000005</v>
      </c>
      <c r="F65" s="1">
        <v>33.54</v>
      </c>
      <c r="G65" s="1">
        <v>40.85</v>
      </c>
      <c r="H65" s="1">
        <v>121</v>
      </c>
      <c r="I65" s="1">
        <v>109</v>
      </c>
      <c r="J65" s="1">
        <v>3738</v>
      </c>
      <c r="K65" s="1">
        <v>1093</v>
      </c>
      <c r="L65" s="1">
        <v>48938</v>
      </c>
      <c r="M65" s="1">
        <v>13798</v>
      </c>
      <c r="N65" s="1">
        <f t="shared" si="8"/>
        <v>230</v>
      </c>
      <c r="O65" s="1">
        <f t="shared" si="9"/>
        <v>4831</v>
      </c>
      <c r="P65" s="1">
        <f t="shared" si="10"/>
        <v>62736</v>
      </c>
      <c r="Q65" s="1">
        <v>92</v>
      </c>
      <c r="R65" s="1">
        <v>98</v>
      </c>
      <c r="S65" s="1">
        <v>3025</v>
      </c>
      <c r="T65" s="1">
        <v>1191</v>
      </c>
      <c r="U65" s="1">
        <v>34793</v>
      </c>
      <c r="V65" s="1">
        <v>13265</v>
      </c>
      <c r="W65" s="1">
        <f t="shared" si="11"/>
        <v>190</v>
      </c>
      <c r="X65" s="1">
        <f t="shared" si="12"/>
        <v>4216</v>
      </c>
      <c r="Y65" s="1">
        <f t="shared" si="13"/>
        <v>48058</v>
      </c>
      <c r="Z65" s="1">
        <v>9.6</v>
      </c>
      <c r="AA65" s="1">
        <v>9.76</v>
      </c>
      <c r="AB65" s="1">
        <f t="shared" si="14"/>
        <v>9.68</v>
      </c>
      <c r="AC65" s="1">
        <v>12.78</v>
      </c>
      <c r="AD65" s="1">
        <v>13.27</v>
      </c>
      <c r="AE65" s="1">
        <f t="shared" si="15"/>
        <v>13.024999999999999</v>
      </c>
      <c r="AF65" s="1">
        <f t="shared" si="15"/>
        <v>13.147499999999999</v>
      </c>
      <c r="AG65" s="1">
        <v>99.34</v>
      </c>
      <c r="AH65" s="1">
        <v>94.86</v>
      </c>
      <c r="AI65" s="1">
        <v>74.33</v>
      </c>
      <c r="AJ65" s="1">
        <v>24.41</v>
      </c>
      <c r="AK65" s="1">
        <v>1344</v>
      </c>
      <c r="AL65" s="1">
        <v>859</v>
      </c>
      <c r="AM65" s="1">
        <v>2203</v>
      </c>
      <c r="AN65" s="1">
        <v>12705</v>
      </c>
      <c r="AO65" s="1">
        <v>6090</v>
      </c>
      <c r="AP65" s="1">
        <v>18795</v>
      </c>
      <c r="AQ65" s="1">
        <v>132584</v>
      </c>
      <c r="AR65" s="1">
        <v>82653</v>
      </c>
      <c r="AS65" s="1">
        <v>215237</v>
      </c>
      <c r="AT65">
        <v>476</v>
      </c>
      <c r="AU65">
        <v>257</v>
      </c>
      <c r="AV65">
        <v>733</v>
      </c>
      <c r="AW65">
        <v>7334</v>
      </c>
      <c r="AX65">
        <v>2032</v>
      </c>
      <c r="AY65">
        <v>9366</v>
      </c>
      <c r="AZ65">
        <v>76311</v>
      </c>
      <c r="BA65">
        <v>25518</v>
      </c>
      <c r="BB65">
        <v>101829</v>
      </c>
    </row>
    <row r="66" spans="1:54" x14ac:dyDescent="0.25">
      <c r="A66" s="1" t="s">
        <v>26</v>
      </c>
      <c r="B66" s="1">
        <v>2022</v>
      </c>
      <c r="C66" s="1">
        <v>9.08</v>
      </c>
      <c r="D66" s="1">
        <v>13.829999999999998</v>
      </c>
      <c r="E66" s="1">
        <v>12.315000000000001</v>
      </c>
      <c r="F66" s="1">
        <v>23.99</v>
      </c>
      <c r="G66" s="1">
        <v>32.130000000000003</v>
      </c>
      <c r="H66" s="1">
        <v>176</v>
      </c>
      <c r="I66" s="1">
        <v>56</v>
      </c>
      <c r="J66" s="1">
        <v>5144</v>
      </c>
      <c r="K66" s="1">
        <v>619</v>
      </c>
      <c r="L66" s="1">
        <v>72724</v>
      </c>
      <c r="M66" s="1">
        <v>6543</v>
      </c>
      <c r="N66" s="1">
        <f t="shared" ref="N66:N97" si="16">H66+I66</f>
        <v>232</v>
      </c>
      <c r="O66" s="1">
        <f t="shared" ref="O66:O97" si="17">J66+K66</f>
        <v>5763</v>
      </c>
      <c r="P66" s="1">
        <f t="shared" ref="P66:P97" si="18">L66+M66</f>
        <v>79267</v>
      </c>
      <c r="Q66" s="1">
        <v>107</v>
      </c>
      <c r="R66" s="1">
        <v>75</v>
      </c>
      <c r="S66" s="1">
        <v>3000</v>
      </c>
      <c r="T66" s="1">
        <v>950</v>
      </c>
      <c r="U66" s="1">
        <v>33097</v>
      </c>
      <c r="V66" s="1">
        <v>10204</v>
      </c>
      <c r="W66" s="1">
        <f t="shared" ref="W66:W97" si="19">Q66+R66</f>
        <v>182</v>
      </c>
      <c r="X66" s="1">
        <f t="shared" ref="X66:X97" si="20">S66+T66</f>
        <v>3950</v>
      </c>
      <c r="Y66" s="1">
        <f t="shared" ref="Y66:Y97" si="21">U66+V66</f>
        <v>43301</v>
      </c>
      <c r="Z66" s="1">
        <v>9.14</v>
      </c>
      <c r="AA66" s="1">
        <v>8.76</v>
      </c>
      <c r="AB66" s="1">
        <f t="shared" si="14"/>
        <v>8.9499999999999993</v>
      </c>
      <c r="AC66" s="1">
        <v>13.16</v>
      </c>
      <c r="AD66" s="1">
        <v>13.71</v>
      </c>
      <c r="AE66" s="1">
        <f t="shared" si="15"/>
        <v>13.435</v>
      </c>
      <c r="AF66" s="1">
        <f t="shared" si="15"/>
        <v>13.572500000000002</v>
      </c>
      <c r="AG66" s="1">
        <v>98.22</v>
      </c>
      <c r="AH66" s="1">
        <v>93.02</v>
      </c>
      <c r="AI66" s="1">
        <v>75.84</v>
      </c>
      <c r="AJ66" s="1">
        <v>29.79</v>
      </c>
      <c r="AK66" s="1">
        <v>2670</v>
      </c>
      <c r="AL66" s="1">
        <v>256</v>
      </c>
      <c r="AM66" s="1">
        <v>2926</v>
      </c>
      <c r="AN66" s="1">
        <v>25032</v>
      </c>
      <c r="AO66" s="1">
        <v>2143</v>
      </c>
      <c r="AP66" s="1">
        <v>27175</v>
      </c>
      <c r="AQ66" s="1">
        <v>281651</v>
      </c>
      <c r="AR66" s="1">
        <v>26071</v>
      </c>
      <c r="AS66" s="1">
        <v>307722</v>
      </c>
      <c r="AT66">
        <v>731</v>
      </c>
      <c r="AU66">
        <v>137</v>
      </c>
      <c r="AV66">
        <v>868</v>
      </c>
      <c r="AW66">
        <v>10671</v>
      </c>
      <c r="AX66">
        <v>1044</v>
      </c>
      <c r="AY66">
        <v>11715</v>
      </c>
      <c r="AZ66">
        <v>105195</v>
      </c>
      <c r="BA66">
        <v>11822</v>
      </c>
      <c r="BB66">
        <v>117017</v>
      </c>
    </row>
    <row r="67" spans="1:54" x14ac:dyDescent="0.25">
      <c r="A67" s="1" t="s">
        <v>27</v>
      </c>
      <c r="B67" s="1">
        <v>2022</v>
      </c>
      <c r="C67" s="1">
        <v>5.0250000000000004</v>
      </c>
      <c r="D67" s="1">
        <v>11.72</v>
      </c>
      <c r="E67" s="1">
        <v>8.6449999999999996</v>
      </c>
      <c r="F67" s="1">
        <v>22.61</v>
      </c>
      <c r="G67" s="1">
        <v>36.450000000000003</v>
      </c>
      <c r="H67" s="1">
        <v>335</v>
      </c>
      <c r="I67" s="1">
        <v>264</v>
      </c>
      <c r="J67" s="1">
        <v>12973</v>
      </c>
      <c r="K67" s="1">
        <v>2971</v>
      </c>
      <c r="L67" s="1">
        <v>193752</v>
      </c>
      <c r="M67" s="1">
        <v>35623</v>
      </c>
      <c r="N67" s="1">
        <f t="shared" si="16"/>
        <v>599</v>
      </c>
      <c r="O67" s="1">
        <f t="shared" si="17"/>
        <v>15944</v>
      </c>
      <c r="P67" s="1">
        <f t="shared" si="18"/>
        <v>229375</v>
      </c>
      <c r="Q67" s="1">
        <v>168</v>
      </c>
      <c r="R67" s="1">
        <v>248</v>
      </c>
      <c r="S67" s="1">
        <v>7309</v>
      </c>
      <c r="T67" s="1">
        <v>3151</v>
      </c>
      <c r="U67" s="1">
        <v>90493</v>
      </c>
      <c r="V67" s="1">
        <v>34374</v>
      </c>
      <c r="W67" s="1">
        <f t="shared" si="19"/>
        <v>416</v>
      </c>
      <c r="X67" s="1">
        <f t="shared" si="20"/>
        <v>10460</v>
      </c>
      <c r="Y67" s="1">
        <f t="shared" si="21"/>
        <v>124867</v>
      </c>
      <c r="Z67" s="1">
        <v>8.77</v>
      </c>
      <c r="AA67" s="1">
        <v>8.48</v>
      </c>
      <c r="AB67" s="1">
        <f t="shared" si="14"/>
        <v>8.625</v>
      </c>
      <c r="AC67" s="1">
        <v>13.4</v>
      </c>
      <c r="AD67" s="1">
        <v>13.82</v>
      </c>
      <c r="AE67" s="1">
        <f t="shared" si="15"/>
        <v>13.61</v>
      </c>
      <c r="AF67" s="1">
        <f t="shared" si="15"/>
        <v>13.715</v>
      </c>
      <c r="AG67" s="1">
        <v>99.43</v>
      </c>
      <c r="AH67" s="1">
        <v>93.2</v>
      </c>
      <c r="AI67" s="1">
        <v>70.81</v>
      </c>
      <c r="AJ67" s="1">
        <v>35.79</v>
      </c>
      <c r="AK67" s="1">
        <v>6082</v>
      </c>
      <c r="AL67" s="1">
        <v>356</v>
      </c>
      <c r="AM67" s="1">
        <v>6438</v>
      </c>
      <c r="AN67" s="1">
        <v>65702</v>
      </c>
      <c r="AO67" s="1">
        <v>4702</v>
      </c>
      <c r="AP67" s="1">
        <v>70404</v>
      </c>
      <c r="AQ67" s="1">
        <v>811242</v>
      </c>
      <c r="AR67" s="1">
        <v>68935</v>
      </c>
      <c r="AS67" s="1">
        <v>880177</v>
      </c>
      <c r="AT67">
        <v>1268</v>
      </c>
      <c r="AU67">
        <v>436</v>
      </c>
      <c r="AV67">
        <v>1704</v>
      </c>
      <c r="AW67">
        <v>25904</v>
      </c>
      <c r="AX67">
        <v>4298</v>
      </c>
      <c r="AY67">
        <v>30202</v>
      </c>
      <c r="AZ67">
        <v>281298</v>
      </c>
      <c r="BA67">
        <v>53106</v>
      </c>
      <c r="BB67">
        <v>334404</v>
      </c>
    </row>
    <row r="68" spans="1:54" x14ac:dyDescent="0.25">
      <c r="A68" s="1" t="s">
        <v>28</v>
      </c>
      <c r="B68" s="1">
        <v>2022</v>
      </c>
      <c r="C68" s="1">
        <v>7.085</v>
      </c>
      <c r="D68" s="1">
        <v>13.585000000000001</v>
      </c>
      <c r="E68" s="1">
        <v>11.219999999999999</v>
      </c>
      <c r="F68" s="1">
        <v>21.61</v>
      </c>
      <c r="G68" s="1">
        <v>37.61</v>
      </c>
      <c r="H68" s="1">
        <v>249</v>
      </c>
      <c r="I68" s="1">
        <v>64</v>
      </c>
      <c r="J68" s="1">
        <v>7272</v>
      </c>
      <c r="K68" s="1">
        <v>572</v>
      </c>
      <c r="L68" s="1">
        <v>88905</v>
      </c>
      <c r="M68" s="1">
        <v>5297</v>
      </c>
      <c r="N68" s="1">
        <f t="shared" si="16"/>
        <v>313</v>
      </c>
      <c r="O68" s="1">
        <f t="shared" si="17"/>
        <v>7844</v>
      </c>
      <c r="P68" s="1">
        <f t="shared" si="18"/>
        <v>94202</v>
      </c>
      <c r="Q68" s="1">
        <v>102</v>
      </c>
      <c r="R68" s="1">
        <v>64</v>
      </c>
      <c r="S68" s="1">
        <v>3050</v>
      </c>
      <c r="T68" s="1">
        <v>723</v>
      </c>
      <c r="U68" s="1">
        <v>30018</v>
      </c>
      <c r="V68" s="1">
        <v>5983</v>
      </c>
      <c r="W68" s="1">
        <f t="shared" si="19"/>
        <v>166</v>
      </c>
      <c r="X68" s="1">
        <f t="shared" si="20"/>
        <v>3773</v>
      </c>
      <c r="Y68" s="1">
        <f t="shared" si="21"/>
        <v>36001</v>
      </c>
      <c r="Z68" s="1">
        <v>9.56</v>
      </c>
      <c r="AA68" s="1">
        <v>8.93</v>
      </c>
      <c r="AB68" s="1">
        <f t="shared" si="14"/>
        <v>9.245000000000001</v>
      </c>
      <c r="AC68" s="1">
        <v>13.65</v>
      </c>
      <c r="AD68" s="1">
        <v>13.97</v>
      </c>
      <c r="AE68" s="1">
        <f t="shared" si="15"/>
        <v>13.81</v>
      </c>
      <c r="AF68" s="1">
        <f t="shared" si="15"/>
        <v>13.89</v>
      </c>
      <c r="AG68" s="1">
        <v>99.05</v>
      </c>
      <c r="AH68" s="1">
        <v>94.8</v>
      </c>
      <c r="AI68" s="1">
        <v>74.53</v>
      </c>
      <c r="AJ68" s="1">
        <v>33.979999999999997</v>
      </c>
      <c r="AK68" s="1">
        <v>2257</v>
      </c>
      <c r="AL68" s="1">
        <v>88</v>
      </c>
      <c r="AM68" s="1">
        <v>2345</v>
      </c>
      <c r="AN68" s="1">
        <v>24705</v>
      </c>
      <c r="AO68" s="1">
        <v>862</v>
      </c>
      <c r="AP68" s="1">
        <v>25567</v>
      </c>
      <c r="AQ68" s="1">
        <v>279295</v>
      </c>
      <c r="AR68" s="1">
        <v>12428</v>
      </c>
      <c r="AS68" s="1">
        <v>291723</v>
      </c>
      <c r="AT68">
        <v>694</v>
      </c>
      <c r="AU68">
        <v>85</v>
      </c>
      <c r="AV68">
        <v>779</v>
      </c>
      <c r="AW68">
        <v>12732</v>
      </c>
      <c r="AX68">
        <v>831</v>
      </c>
      <c r="AY68">
        <v>13563</v>
      </c>
      <c r="AZ68">
        <v>111979</v>
      </c>
      <c r="BA68">
        <v>8028</v>
      </c>
      <c r="BB68">
        <v>120007</v>
      </c>
    </row>
    <row r="69" spans="1:54" x14ac:dyDescent="0.25">
      <c r="A69" s="1" t="s">
        <v>29</v>
      </c>
      <c r="B69" s="1">
        <v>2022</v>
      </c>
      <c r="C69" s="1">
        <v>4.2300000000000004</v>
      </c>
      <c r="D69" s="1">
        <v>24.47</v>
      </c>
      <c r="E69" s="1">
        <v>15.465</v>
      </c>
      <c r="F69" s="1">
        <v>28.03</v>
      </c>
      <c r="G69" s="1">
        <v>35.03</v>
      </c>
      <c r="H69" s="1">
        <v>61</v>
      </c>
      <c r="I69" s="1">
        <v>9</v>
      </c>
      <c r="J69" s="1">
        <v>1958</v>
      </c>
      <c r="K69" s="1">
        <v>127</v>
      </c>
      <c r="L69" s="1">
        <v>29992</v>
      </c>
      <c r="M69" s="1">
        <v>1270</v>
      </c>
      <c r="N69" s="1">
        <f t="shared" si="16"/>
        <v>70</v>
      </c>
      <c r="O69" s="1">
        <f t="shared" si="17"/>
        <v>2085</v>
      </c>
      <c r="P69" s="1">
        <f t="shared" si="18"/>
        <v>31262</v>
      </c>
      <c r="Q69" s="1">
        <v>40</v>
      </c>
      <c r="R69" s="1">
        <v>18</v>
      </c>
      <c r="S69" s="1">
        <v>1530</v>
      </c>
      <c r="T69" s="1">
        <v>277</v>
      </c>
      <c r="U69" s="1">
        <v>15543</v>
      </c>
      <c r="V69" s="1">
        <v>2490</v>
      </c>
      <c r="W69" s="1">
        <f t="shared" si="19"/>
        <v>58</v>
      </c>
      <c r="X69" s="1">
        <f t="shared" si="20"/>
        <v>1807</v>
      </c>
      <c r="Y69" s="1">
        <f t="shared" si="21"/>
        <v>18033</v>
      </c>
      <c r="Z69" s="1">
        <v>7.59</v>
      </c>
      <c r="AA69" s="1">
        <v>8.4</v>
      </c>
      <c r="AB69" s="1">
        <f t="shared" si="14"/>
        <v>7.9950000000000001</v>
      </c>
      <c r="AC69" s="1">
        <v>12.82</v>
      </c>
      <c r="AD69" s="1">
        <v>13.8</v>
      </c>
      <c r="AE69" s="1">
        <f t="shared" si="15"/>
        <v>13.31</v>
      </c>
      <c r="AF69" s="1">
        <f t="shared" si="15"/>
        <v>13.555</v>
      </c>
      <c r="AG69" s="1">
        <v>98.93</v>
      </c>
      <c r="AH69" s="1">
        <v>91.83</v>
      </c>
      <c r="AI69" s="1">
        <v>71.680000000000007</v>
      </c>
      <c r="AJ69" s="1">
        <v>34.04</v>
      </c>
      <c r="AK69" s="1">
        <v>896</v>
      </c>
      <c r="AL69" s="1">
        <v>32</v>
      </c>
      <c r="AM69" s="1">
        <v>928</v>
      </c>
      <c r="AN69" s="1">
        <v>8108</v>
      </c>
      <c r="AO69" s="1">
        <v>284</v>
      </c>
      <c r="AP69" s="1">
        <v>8392</v>
      </c>
      <c r="AQ69" s="1">
        <v>103914</v>
      </c>
      <c r="AR69" s="1">
        <v>4228</v>
      </c>
      <c r="AS69" s="1">
        <v>108142</v>
      </c>
      <c r="AT69">
        <v>312</v>
      </c>
      <c r="AU69">
        <v>28</v>
      </c>
      <c r="AV69">
        <v>340</v>
      </c>
      <c r="AW69">
        <v>3999</v>
      </c>
      <c r="AX69">
        <v>257</v>
      </c>
      <c r="AY69">
        <v>4256</v>
      </c>
      <c r="AZ69">
        <v>40483</v>
      </c>
      <c r="BA69">
        <v>2563</v>
      </c>
      <c r="BB69">
        <v>43046</v>
      </c>
    </row>
    <row r="70" spans="1:54" x14ac:dyDescent="0.25">
      <c r="A70" s="1" t="s">
        <v>30</v>
      </c>
      <c r="B70" s="1">
        <v>2022</v>
      </c>
      <c r="C70" s="1">
        <v>9.5449999999999999</v>
      </c>
      <c r="D70" s="1">
        <v>12.42</v>
      </c>
      <c r="E70" s="1">
        <v>11.835000000000001</v>
      </c>
      <c r="F70" s="1">
        <v>22.51</v>
      </c>
      <c r="G70" s="1">
        <v>22.75</v>
      </c>
      <c r="H70" s="1">
        <v>77</v>
      </c>
      <c r="I70" s="1">
        <v>14</v>
      </c>
      <c r="J70" s="1">
        <v>2288</v>
      </c>
      <c r="K70" s="1">
        <v>103</v>
      </c>
      <c r="L70" s="1">
        <v>27994</v>
      </c>
      <c r="M70" s="1">
        <v>1154</v>
      </c>
      <c r="N70" s="1">
        <f t="shared" si="16"/>
        <v>91</v>
      </c>
      <c r="O70" s="1">
        <f t="shared" si="17"/>
        <v>2391</v>
      </c>
      <c r="P70" s="1">
        <f t="shared" si="18"/>
        <v>29148</v>
      </c>
      <c r="Q70" s="1">
        <v>60</v>
      </c>
      <c r="R70" s="1">
        <v>71</v>
      </c>
      <c r="S70" s="1">
        <v>1896</v>
      </c>
      <c r="T70" s="1">
        <v>689</v>
      </c>
      <c r="U70" s="1">
        <v>19023</v>
      </c>
      <c r="V70" s="1">
        <v>7000</v>
      </c>
      <c r="W70" s="1">
        <f t="shared" si="19"/>
        <v>131</v>
      </c>
      <c r="X70" s="1">
        <f t="shared" si="20"/>
        <v>2585</v>
      </c>
      <c r="Y70" s="1">
        <f t="shared" si="21"/>
        <v>26023</v>
      </c>
      <c r="Z70" s="1">
        <v>8.35</v>
      </c>
      <c r="AA70" s="1">
        <v>7.81</v>
      </c>
      <c r="AB70" s="1">
        <f t="shared" si="14"/>
        <v>8.08</v>
      </c>
      <c r="AC70" s="1">
        <v>12.75</v>
      </c>
      <c r="AD70" s="1">
        <v>13.18</v>
      </c>
      <c r="AE70" s="1">
        <f t="shared" si="15"/>
        <v>12.965</v>
      </c>
      <c r="AF70" s="1">
        <f t="shared" si="15"/>
        <v>13.0725</v>
      </c>
      <c r="AG70" s="1">
        <v>98.4</v>
      </c>
      <c r="AH70" s="1">
        <v>89.39</v>
      </c>
      <c r="AI70" s="1">
        <v>70.849999999999994</v>
      </c>
      <c r="AJ70" s="1">
        <v>25.02</v>
      </c>
      <c r="AK70" s="1">
        <v>1297</v>
      </c>
      <c r="AL70" s="1">
        <v>29</v>
      </c>
      <c r="AM70" s="1">
        <v>1326</v>
      </c>
      <c r="AN70" s="1">
        <v>13487</v>
      </c>
      <c r="AO70" s="1">
        <v>268</v>
      </c>
      <c r="AP70" s="1">
        <v>13755</v>
      </c>
      <c r="AQ70" s="1">
        <v>139578</v>
      </c>
      <c r="AR70" s="1">
        <v>4415</v>
      </c>
      <c r="AS70" s="1">
        <v>143993</v>
      </c>
      <c r="AT70">
        <v>318</v>
      </c>
      <c r="AU70">
        <v>61</v>
      </c>
      <c r="AV70">
        <v>379</v>
      </c>
      <c r="AW70">
        <v>5155</v>
      </c>
      <c r="AX70">
        <v>465</v>
      </c>
      <c r="AY70">
        <v>5620</v>
      </c>
      <c r="AZ70">
        <v>47729</v>
      </c>
      <c r="BA70">
        <v>5179</v>
      </c>
      <c r="BB70">
        <v>52908</v>
      </c>
    </row>
    <row r="71" spans="1:54" x14ac:dyDescent="0.25">
      <c r="A71" s="1" t="s">
        <v>31</v>
      </c>
      <c r="B71" s="1">
        <v>2022</v>
      </c>
      <c r="C71" s="1">
        <v>5.86</v>
      </c>
      <c r="D71" s="1">
        <v>24.02</v>
      </c>
      <c r="E71" s="1">
        <v>16.100000000000001</v>
      </c>
      <c r="F71" s="1">
        <v>30.89</v>
      </c>
      <c r="G71" s="1">
        <v>36.700000000000003</v>
      </c>
      <c r="H71" s="1">
        <v>211</v>
      </c>
      <c r="I71" s="1">
        <v>73</v>
      </c>
      <c r="J71" s="1">
        <v>5357</v>
      </c>
      <c r="K71" s="1">
        <v>1300</v>
      </c>
      <c r="L71" s="1">
        <v>57923</v>
      </c>
      <c r="M71" s="1">
        <v>11619</v>
      </c>
      <c r="N71" s="1">
        <f t="shared" si="16"/>
        <v>284</v>
      </c>
      <c r="O71" s="1">
        <f t="shared" si="17"/>
        <v>6657</v>
      </c>
      <c r="P71" s="1">
        <f t="shared" si="18"/>
        <v>69542</v>
      </c>
      <c r="Q71" s="1">
        <v>82</v>
      </c>
      <c r="R71" s="1">
        <v>33</v>
      </c>
      <c r="S71" s="1">
        <v>2153</v>
      </c>
      <c r="T71" s="1">
        <v>585</v>
      </c>
      <c r="U71" s="1">
        <v>16110</v>
      </c>
      <c r="V71" s="1">
        <v>5461</v>
      </c>
      <c r="W71" s="1">
        <f t="shared" si="19"/>
        <v>115</v>
      </c>
      <c r="X71" s="1">
        <f t="shared" si="20"/>
        <v>2738</v>
      </c>
      <c r="Y71" s="1">
        <f t="shared" si="21"/>
        <v>21571</v>
      </c>
      <c r="Z71" s="1">
        <v>10.3</v>
      </c>
      <c r="AA71" s="1">
        <v>10.07</v>
      </c>
      <c r="AB71" s="1">
        <f t="shared" si="14"/>
        <v>10.185</v>
      </c>
      <c r="AC71" s="1">
        <v>13.86</v>
      </c>
      <c r="AD71" s="1">
        <v>14.31</v>
      </c>
      <c r="AE71" s="1">
        <f t="shared" si="15"/>
        <v>14.085000000000001</v>
      </c>
      <c r="AF71" s="1">
        <f t="shared" si="15"/>
        <v>14.197500000000002</v>
      </c>
      <c r="AG71" s="1">
        <v>99.55</v>
      </c>
      <c r="AH71" s="1">
        <v>97.69</v>
      </c>
      <c r="AI71" s="1">
        <v>79.03</v>
      </c>
      <c r="AJ71" s="1">
        <v>43.43</v>
      </c>
      <c r="AK71" s="1">
        <v>1276</v>
      </c>
      <c r="AL71" s="1">
        <v>536</v>
      </c>
      <c r="AM71" s="1">
        <v>1812</v>
      </c>
      <c r="AN71" s="1">
        <v>13498</v>
      </c>
      <c r="AO71" s="1">
        <v>4471</v>
      </c>
      <c r="AP71" s="1">
        <v>17969</v>
      </c>
      <c r="AQ71" s="1">
        <v>148988</v>
      </c>
      <c r="AR71" s="1">
        <v>59008</v>
      </c>
      <c r="AS71" s="1">
        <v>207996</v>
      </c>
      <c r="AT71">
        <v>542</v>
      </c>
      <c r="AU71">
        <v>143</v>
      </c>
      <c r="AV71">
        <v>685</v>
      </c>
      <c r="AW71">
        <v>8415</v>
      </c>
      <c r="AX71">
        <v>1739</v>
      </c>
      <c r="AY71">
        <v>10154</v>
      </c>
      <c r="AZ71">
        <v>72347</v>
      </c>
      <c r="BA71">
        <v>16921</v>
      </c>
      <c r="BB71">
        <v>89268</v>
      </c>
    </row>
    <row r="72" spans="1:54" x14ac:dyDescent="0.25">
      <c r="A72" s="1" t="s">
        <v>32</v>
      </c>
      <c r="B72" s="1">
        <v>2022</v>
      </c>
      <c r="C72" s="1">
        <v>5.6749999999999998</v>
      </c>
      <c r="D72" s="1">
        <v>6.5549999999999997</v>
      </c>
      <c r="E72" s="1">
        <v>6.3000000000000007</v>
      </c>
      <c r="F72" s="1">
        <v>29.52</v>
      </c>
      <c r="G72" s="1">
        <v>34.369999999999997</v>
      </c>
      <c r="H72" s="1">
        <v>139</v>
      </c>
      <c r="I72" s="1">
        <v>78</v>
      </c>
      <c r="J72" s="1">
        <v>2844</v>
      </c>
      <c r="K72" s="1">
        <v>785</v>
      </c>
      <c r="L72" s="1">
        <v>34566</v>
      </c>
      <c r="M72" s="1">
        <v>8539</v>
      </c>
      <c r="N72" s="1">
        <f t="shared" si="16"/>
        <v>217</v>
      </c>
      <c r="O72" s="1">
        <f t="shared" si="17"/>
        <v>3629</v>
      </c>
      <c r="P72" s="1">
        <f t="shared" si="18"/>
        <v>43105</v>
      </c>
      <c r="Q72" s="1">
        <v>63</v>
      </c>
      <c r="R72" s="1">
        <v>87</v>
      </c>
      <c r="S72" s="1">
        <v>1183</v>
      </c>
      <c r="T72" s="1">
        <v>823</v>
      </c>
      <c r="U72" s="1">
        <v>9804</v>
      </c>
      <c r="V72" s="1">
        <v>8967</v>
      </c>
      <c r="W72" s="1">
        <f t="shared" si="19"/>
        <v>150</v>
      </c>
      <c r="X72" s="1">
        <f t="shared" si="20"/>
        <v>2006</v>
      </c>
      <c r="Y72" s="1">
        <f t="shared" si="21"/>
        <v>18771</v>
      </c>
      <c r="Z72" s="1">
        <v>9.51</v>
      </c>
      <c r="AA72" s="1">
        <v>8.93</v>
      </c>
      <c r="AB72" s="1">
        <f t="shared" si="14"/>
        <v>9.2199999999999989</v>
      </c>
      <c r="AC72" s="1">
        <v>13.74</v>
      </c>
      <c r="AD72" s="1">
        <v>13.73</v>
      </c>
      <c r="AE72" s="1">
        <f t="shared" si="15"/>
        <v>13.734999999999999</v>
      </c>
      <c r="AF72" s="1">
        <f t="shared" si="15"/>
        <v>13.7325</v>
      </c>
      <c r="AG72" s="1">
        <v>99.13</v>
      </c>
      <c r="AH72" s="1">
        <v>97.59</v>
      </c>
      <c r="AI72" s="1">
        <v>77.7</v>
      </c>
      <c r="AJ72" s="1">
        <v>32.65</v>
      </c>
      <c r="AK72" s="1">
        <v>1110</v>
      </c>
      <c r="AL72" s="1">
        <v>205</v>
      </c>
      <c r="AM72" s="1">
        <v>1315</v>
      </c>
      <c r="AN72" s="1">
        <v>10439</v>
      </c>
      <c r="AO72" s="1">
        <v>1598</v>
      </c>
      <c r="AP72" s="1">
        <v>12037</v>
      </c>
      <c r="AQ72" s="1">
        <v>117634</v>
      </c>
      <c r="AR72" s="1">
        <v>22930</v>
      </c>
      <c r="AS72" s="1">
        <v>140564</v>
      </c>
      <c r="AT72">
        <v>369</v>
      </c>
      <c r="AU72">
        <v>141</v>
      </c>
      <c r="AV72">
        <v>510</v>
      </c>
      <c r="AW72">
        <v>5391</v>
      </c>
      <c r="AX72">
        <v>1227</v>
      </c>
      <c r="AY72">
        <v>6618</v>
      </c>
      <c r="AZ72">
        <v>45773</v>
      </c>
      <c r="BA72">
        <v>13125</v>
      </c>
      <c r="BB72">
        <v>58898</v>
      </c>
    </row>
    <row r="73" spans="1:54" x14ac:dyDescent="0.25">
      <c r="A73" s="1" t="s">
        <v>33</v>
      </c>
      <c r="B73" s="1">
        <v>2022</v>
      </c>
      <c r="C73" s="1">
        <f>7.3/2</f>
        <v>3.65</v>
      </c>
      <c r="D73" s="1">
        <f>31.77/2</f>
        <v>15.885</v>
      </c>
      <c r="E73" s="1">
        <f>21.38/2</f>
        <v>10.69</v>
      </c>
      <c r="F73" s="1">
        <v>13.145</v>
      </c>
      <c r="G73" s="1">
        <v>19.86</v>
      </c>
      <c r="H73" s="1">
        <v>41</v>
      </c>
      <c r="I73" s="1">
        <v>24.5</v>
      </c>
      <c r="J73" s="1">
        <v>821.5</v>
      </c>
      <c r="K73" s="1">
        <v>367.5</v>
      </c>
      <c r="L73" s="1">
        <v>11501.5</v>
      </c>
      <c r="M73" s="1">
        <v>3458.5</v>
      </c>
      <c r="N73" s="1">
        <f t="shared" si="16"/>
        <v>65.5</v>
      </c>
      <c r="O73" s="1">
        <f t="shared" si="17"/>
        <v>1189</v>
      </c>
      <c r="P73" s="1">
        <f t="shared" si="18"/>
        <v>14960</v>
      </c>
      <c r="Q73" s="1">
        <v>16.5</v>
      </c>
      <c r="R73" s="1">
        <v>12</v>
      </c>
      <c r="S73" s="1">
        <v>455.5</v>
      </c>
      <c r="T73" s="1">
        <v>210.5</v>
      </c>
      <c r="U73" s="1">
        <v>5717</v>
      </c>
      <c r="V73" s="1">
        <v>2341</v>
      </c>
      <c r="W73" s="1">
        <f t="shared" si="19"/>
        <v>28.5</v>
      </c>
      <c r="X73" s="1">
        <f t="shared" si="20"/>
        <v>666</v>
      </c>
      <c r="Y73" s="1">
        <f t="shared" si="21"/>
        <v>8058</v>
      </c>
      <c r="Z73" s="1">
        <v>5.2249999999999996</v>
      </c>
      <c r="AA73" s="1">
        <v>3.86</v>
      </c>
      <c r="AB73" s="1">
        <f t="shared" si="14"/>
        <v>4.5424999999999995</v>
      </c>
      <c r="AC73" s="1">
        <v>6.7450000000000001</v>
      </c>
      <c r="AD73" s="1">
        <v>6.51</v>
      </c>
      <c r="AE73" s="1">
        <f t="shared" si="15"/>
        <v>6.6274999999999995</v>
      </c>
      <c r="AF73" s="1">
        <f t="shared" si="15"/>
        <v>6.5687499999999996</v>
      </c>
      <c r="AG73" s="1">
        <v>49.134999999999998</v>
      </c>
      <c r="AH73" s="1">
        <v>48.685000000000002</v>
      </c>
      <c r="AI73" s="1">
        <v>40.28</v>
      </c>
      <c r="AJ73" s="1">
        <v>17.489999999999998</v>
      </c>
      <c r="AK73" s="1">
        <v>350</v>
      </c>
      <c r="AL73" s="1">
        <v>202</v>
      </c>
      <c r="AM73" s="1">
        <v>552</v>
      </c>
      <c r="AN73" s="1">
        <v>3352.5</v>
      </c>
      <c r="AO73" s="1">
        <v>1543</v>
      </c>
      <c r="AP73" s="1">
        <v>4895.5</v>
      </c>
      <c r="AQ73" s="1">
        <v>41477.5</v>
      </c>
      <c r="AR73" s="1">
        <v>24108</v>
      </c>
      <c r="AS73" s="1">
        <v>65585.5</v>
      </c>
      <c r="AT73">
        <v>119</v>
      </c>
      <c r="AU73">
        <v>48</v>
      </c>
      <c r="AV73">
        <v>167</v>
      </c>
      <c r="AW73">
        <v>1904</v>
      </c>
      <c r="AX73">
        <v>555.5</v>
      </c>
      <c r="AY73">
        <v>2459.5</v>
      </c>
      <c r="AZ73">
        <v>18550</v>
      </c>
      <c r="BA73">
        <v>6544.5</v>
      </c>
      <c r="BB73">
        <v>25094.5</v>
      </c>
    </row>
    <row r="74" spans="1:54" x14ac:dyDescent="0.25">
      <c r="A74" s="1" t="s">
        <v>34</v>
      </c>
      <c r="B74" s="1">
        <v>2022</v>
      </c>
      <c r="C74" s="1">
        <f>7.3/2</f>
        <v>3.65</v>
      </c>
      <c r="D74" s="1">
        <f>31.77/2</f>
        <v>15.885</v>
      </c>
      <c r="E74" s="1">
        <f>21.38/2</f>
        <v>10.69</v>
      </c>
      <c r="F74" s="1">
        <v>13.145</v>
      </c>
      <c r="G74" s="1">
        <v>19.86</v>
      </c>
      <c r="H74" s="1">
        <v>41</v>
      </c>
      <c r="I74" s="1">
        <v>24.5</v>
      </c>
      <c r="J74" s="1">
        <v>821.5</v>
      </c>
      <c r="K74" s="1">
        <v>367.5</v>
      </c>
      <c r="L74" s="1">
        <v>11501.5</v>
      </c>
      <c r="M74" s="1">
        <v>3458.5</v>
      </c>
      <c r="N74" s="1">
        <f t="shared" si="16"/>
        <v>65.5</v>
      </c>
      <c r="O74" s="1">
        <f t="shared" si="17"/>
        <v>1189</v>
      </c>
      <c r="P74" s="1">
        <f t="shared" si="18"/>
        <v>14960</v>
      </c>
      <c r="Q74" s="1">
        <v>16.5</v>
      </c>
      <c r="R74" s="1">
        <v>12</v>
      </c>
      <c r="S74" s="1">
        <v>455.5</v>
      </c>
      <c r="T74" s="1">
        <v>210.5</v>
      </c>
      <c r="U74" s="1">
        <v>5717</v>
      </c>
      <c r="V74" s="1">
        <v>2341</v>
      </c>
      <c r="W74" s="1">
        <f t="shared" si="19"/>
        <v>28.5</v>
      </c>
      <c r="X74" s="1">
        <f t="shared" si="20"/>
        <v>666</v>
      </c>
      <c r="Y74" s="1">
        <f t="shared" si="21"/>
        <v>8058</v>
      </c>
      <c r="Z74" s="1">
        <v>5.2249999999999996</v>
      </c>
      <c r="AA74" s="1">
        <v>3.86</v>
      </c>
      <c r="AB74" s="1">
        <f t="shared" si="14"/>
        <v>4.5424999999999995</v>
      </c>
      <c r="AC74" s="1">
        <v>6.7450000000000001</v>
      </c>
      <c r="AD74" s="1">
        <v>6.51</v>
      </c>
      <c r="AE74" s="1">
        <f t="shared" si="15"/>
        <v>6.6274999999999995</v>
      </c>
      <c r="AF74" s="1">
        <f t="shared" si="15"/>
        <v>6.5687499999999996</v>
      </c>
      <c r="AG74" s="1">
        <v>49.134999999999998</v>
      </c>
      <c r="AH74" s="1">
        <v>48.685000000000002</v>
      </c>
      <c r="AI74" s="1">
        <v>40.28</v>
      </c>
      <c r="AJ74" s="1">
        <v>17.489999999999998</v>
      </c>
      <c r="AK74" s="1">
        <v>350</v>
      </c>
      <c r="AL74" s="1">
        <v>202</v>
      </c>
      <c r="AM74" s="1">
        <v>552</v>
      </c>
      <c r="AN74" s="1">
        <v>3352.5</v>
      </c>
      <c r="AO74" s="1">
        <v>1543</v>
      </c>
      <c r="AP74" s="1">
        <v>4895.5</v>
      </c>
      <c r="AQ74" s="1">
        <v>41477.5</v>
      </c>
      <c r="AR74" s="1">
        <v>24108</v>
      </c>
      <c r="AS74" s="1">
        <v>65585.5</v>
      </c>
      <c r="AT74">
        <v>119</v>
      </c>
      <c r="AU74">
        <v>48</v>
      </c>
      <c r="AV74">
        <v>167</v>
      </c>
      <c r="AW74">
        <v>1904</v>
      </c>
      <c r="AX74">
        <v>555.5</v>
      </c>
      <c r="AY74">
        <v>2459.5</v>
      </c>
      <c r="AZ74">
        <v>18550</v>
      </c>
      <c r="BA74">
        <v>6544.5</v>
      </c>
      <c r="BB74">
        <v>25094.5</v>
      </c>
    </row>
    <row r="75" spans="1:54" x14ac:dyDescent="0.25">
      <c r="A75" s="1" t="s">
        <v>35</v>
      </c>
      <c r="B75" s="1">
        <v>2022</v>
      </c>
      <c r="C75" s="1">
        <v>1.2887499999999998</v>
      </c>
      <c r="D75" s="1">
        <v>8.8837499999999991</v>
      </c>
      <c r="E75" s="1">
        <v>6.67</v>
      </c>
      <c r="F75" s="1">
        <v>5.0175000000000001</v>
      </c>
      <c r="G75" s="1">
        <v>3.9725000000000001</v>
      </c>
      <c r="H75" s="1">
        <v>36</v>
      </c>
      <c r="I75" s="1">
        <v>28</v>
      </c>
      <c r="J75" s="1">
        <v>844</v>
      </c>
      <c r="K75" s="1">
        <v>401.75</v>
      </c>
      <c r="L75" s="1">
        <v>12546</v>
      </c>
      <c r="M75" s="1">
        <v>5283.25</v>
      </c>
      <c r="N75" s="1">
        <f t="shared" si="16"/>
        <v>64</v>
      </c>
      <c r="O75" s="1">
        <f t="shared" si="17"/>
        <v>1245.75</v>
      </c>
      <c r="P75" s="1">
        <f t="shared" si="18"/>
        <v>17829.25</v>
      </c>
      <c r="Q75" s="1">
        <v>20</v>
      </c>
      <c r="R75" s="1">
        <v>15.25</v>
      </c>
      <c r="S75" s="1">
        <v>513.25</v>
      </c>
      <c r="T75" s="1">
        <v>254</v>
      </c>
      <c r="U75" s="1">
        <v>5634.5</v>
      </c>
      <c r="V75" s="1">
        <v>3192.75</v>
      </c>
      <c r="W75" s="1">
        <f t="shared" si="19"/>
        <v>35.25</v>
      </c>
      <c r="X75" s="1">
        <f t="shared" si="20"/>
        <v>767.25</v>
      </c>
      <c r="Y75" s="1">
        <f t="shared" si="21"/>
        <v>8827.25</v>
      </c>
      <c r="Z75" s="1">
        <v>1.885</v>
      </c>
      <c r="AA75" s="1">
        <v>1.5725</v>
      </c>
      <c r="AB75" s="1">
        <f t="shared" si="14"/>
        <v>1.72875</v>
      </c>
      <c r="AC75" s="1">
        <v>2.83</v>
      </c>
      <c r="AD75" s="1">
        <v>2.78</v>
      </c>
      <c r="AE75" s="1">
        <f t="shared" si="15"/>
        <v>2.8049999999999997</v>
      </c>
      <c r="AF75" s="1">
        <f t="shared" si="15"/>
        <v>2.7924999999999995</v>
      </c>
      <c r="AG75" s="1">
        <v>21.087499999999999</v>
      </c>
      <c r="AH75" s="1">
        <v>20.414999999999999</v>
      </c>
      <c r="AI75" s="1">
        <v>16.482500000000002</v>
      </c>
      <c r="AJ75" s="1">
        <v>6.28</v>
      </c>
      <c r="AK75" s="1">
        <v>416</v>
      </c>
      <c r="AL75" s="1">
        <v>244.5</v>
      </c>
      <c r="AM75" s="1">
        <v>660.5</v>
      </c>
      <c r="AN75" s="1">
        <v>3152.5</v>
      </c>
      <c r="AO75" s="1">
        <v>1904.25</v>
      </c>
      <c r="AP75" s="1">
        <v>5056.75</v>
      </c>
      <c r="AQ75" s="1">
        <v>72070.75</v>
      </c>
      <c r="AR75" s="1">
        <v>46067.25</v>
      </c>
      <c r="AS75" s="1">
        <v>118138</v>
      </c>
      <c r="AT75">
        <v>129.75</v>
      </c>
      <c r="AU75">
        <v>56</v>
      </c>
      <c r="AV75">
        <v>185.75</v>
      </c>
      <c r="AW75">
        <v>1869</v>
      </c>
      <c r="AX75">
        <v>607.5</v>
      </c>
      <c r="AY75">
        <v>2476.5</v>
      </c>
      <c r="AZ75">
        <v>27785.25</v>
      </c>
      <c r="BA75">
        <v>9460</v>
      </c>
      <c r="BB75">
        <v>37245.25</v>
      </c>
    </row>
    <row r="76" spans="1:54" x14ac:dyDescent="0.25">
      <c r="A76" s="1" t="s">
        <v>36</v>
      </c>
      <c r="B76" s="1">
        <v>2022</v>
      </c>
      <c r="C76" s="1">
        <v>1.2887499999999998</v>
      </c>
      <c r="D76" s="1">
        <v>8.8837499999999991</v>
      </c>
      <c r="E76" s="1">
        <v>6.67</v>
      </c>
      <c r="F76" s="1">
        <v>5.0175000000000001</v>
      </c>
      <c r="G76" s="1">
        <v>3.9725000000000001</v>
      </c>
      <c r="H76" s="1">
        <v>36</v>
      </c>
      <c r="I76" s="1">
        <v>28</v>
      </c>
      <c r="J76" s="1">
        <v>844</v>
      </c>
      <c r="K76" s="1">
        <v>401.75</v>
      </c>
      <c r="L76" s="1">
        <v>12546</v>
      </c>
      <c r="M76" s="1">
        <v>5283.25</v>
      </c>
      <c r="N76" s="1">
        <f t="shared" si="16"/>
        <v>64</v>
      </c>
      <c r="O76" s="1">
        <f t="shared" si="17"/>
        <v>1245.75</v>
      </c>
      <c r="P76" s="1">
        <f t="shared" si="18"/>
        <v>17829.25</v>
      </c>
      <c r="Q76" s="1">
        <v>20</v>
      </c>
      <c r="R76" s="1">
        <v>15.25</v>
      </c>
      <c r="S76" s="1">
        <v>513.25</v>
      </c>
      <c r="T76" s="1">
        <v>254</v>
      </c>
      <c r="U76" s="1">
        <v>5634.5</v>
      </c>
      <c r="V76" s="1">
        <v>3192.75</v>
      </c>
      <c r="W76" s="1">
        <f t="shared" si="19"/>
        <v>35.25</v>
      </c>
      <c r="X76" s="1">
        <f t="shared" si="20"/>
        <v>767.25</v>
      </c>
      <c r="Y76" s="1">
        <f t="shared" si="21"/>
        <v>8827.25</v>
      </c>
      <c r="Z76" s="1">
        <v>1.885</v>
      </c>
      <c r="AA76" s="1">
        <v>1.5725</v>
      </c>
      <c r="AB76" s="1">
        <f t="shared" si="14"/>
        <v>1.72875</v>
      </c>
      <c r="AC76" s="1">
        <v>2.83</v>
      </c>
      <c r="AD76" s="1">
        <v>2.78</v>
      </c>
      <c r="AE76" s="1">
        <f t="shared" si="15"/>
        <v>2.8049999999999997</v>
      </c>
      <c r="AF76" s="1">
        <f t="shared" si="15"/>
        <v>2.7924999999999995</v>
      </c>
      <c r="AG76" s="1">
        <v>21.087499999999999</v>
      </c>
      <c r="AH76" s="1">
        <v>20.414999999999999</v>
      </c>
      <c r="AI76" s="1">
        <v>16.482500000000002</v>
      </c>
      <c r="AJ76" s="1">
        <v>6.28</v>
      </c>
      <c r="AK76" s="1">
        <v>416</v>
      </c>
      <c r="AL76" s="1">
        <v>244.5</v>
      </c>
      <c r="AM76" s="1">
        <v>660.5</v>
      </c>
      <c r="AN76" s="1">
        <v>3152.5</v>
      </c>
      <c r="AO76" s="1">
        <v>1904.25</v>
      </c>
      <c r="AP76" s="1">
        <v>5056.75</v>
      </c>
      <c r="AQ76" s="1">
        <v>72070.75</v>
      </c>
      <c r="AR76" s="1">
        <v>46067.25</v>
      </c>
      <c r="AS76" s="1">
        <v>118138</v>
      </c>
      <c r="AT76">
        <v>129.75</v>
      </c>
      <c r="AU76">
        <v>56</v>
      </c>
      <c r="AV76">
        <v>185.75</v>
      </c>
      <c r="AW76">
        <v>1869</v>
      </c>
      <c r="AX76">
        <v>607.5</v>
      </c>
      <c r="AY76">
        <v>2476.5</v>
      </c>
      <c r="AZ76">
        <v>27785.25</v>
      </c>
      <c r="BA76">
        <v>9460</v>
      </c>
      <c r="BB76">
        <v>37245.25</v>
      </c>
    </row>
    <row r="77" spans="1:54" x14ac:dyDescent="0.25">
      <c r="A77" s="1" t="s">
        <v>37</v>
      </c>
      <c r="B77" s="1">
        <v>2022</v>
      </c>
      <c r="C77" s="1">
        <v>1.2887499999999998</v>
      </c>
      <c r="D77" s="1">
        <v>8.8837499999999991</v>
      </c>
      <c r="E77" s="1">
        <v>6.67</v>
      </c>
      <c r="F77" s="1">
        <v>5.0175000000000001</v>
      </c>
      <c r="G77" s="1">
        <v>3.9725000000000001</v>
      </c>
      <c r="H77" s="1">
        <v>36</v>
      </c>
      <c r="I77" s="1">
        <v>28</v>
      </c>
      <c r="J77" s="1">
        <v>844</v>
      </c>
      <c r="K77" s="1">
        <v>401.75</v>
      </c>
      <c r="L77" s="1">
        <v>12546</v>
      </c>
      <c r="M77" s="1">
        <v>5283.25</v>
      </c>
      <c r="N77" s="1">
        <f t="shared" si="16"/>
        <v>64</v>
      </c>
      <c r="O77" s="1">
        <f t="shared" si="17"/>
        <v>1245.75</v>
      </c>
      <c r="P77" s="1">
        <f t="shared" si="18"/>
        <v>17829.25</v>
      </c>
      <c r="Q77" s="1">
        <v>20</v>
      </c>
      <c r="R77" s="1">
        <v>15.25</v>
      </c>
      <c r="S77" s="1">
        <v>513.25</v>
      </c>
      <c r="T77" s="1">
        <v>254</v>
      </c>
      <c r="U77" s="1">
        <v>5634.5</v>
      </c>
      <c r="V77" s="1">
        <v>3192.75</v>
      </c>
      <c r="W77" s="1">
        <f t="shared" si="19"/>
        <v>35.25</v>
      </c>
      <c r="X77" s="1">
        <f t="shared" si="20"/>
        <v>767.25</v>
      </c>
      <c r="Y77" s="1">
        <f t="shared" si="21"/>
        <v>8827.25</v>
      </c>
      <c r="Z77" s="1">
        <v>1.885</v>
      </c>
      <c r="AA77" s="1">
        <v>1.5725</v>
      </c>
      <c r="AB77" s="1">
        <f t="shared" si="14"/>
        <v>1.72875</v>
      </c>
      <c r="AC77" s="1">
        <v>2.83</v>
      </c>
      <c r="AD77" s="1">
        <v>2.78</v>
      </c>
      <c r="AE77" s="1">
        <f t="shared" si="15"/>
        <v>2.8049999999999997</v>
      </c>
      <c r="AF77" s="1">
        <f t="shared" si="15"/>
        <v>2.7924999999999995</v>
      </c>
      <c r="AG77" s="1">
        <v>21.087499999999999</v>
      </c>
      <c r="AH77" s="1">
        <v>20.414999999999999</v>
      </c>
      <c r="AI77" s="1">
        <v>16.482500000000002</v>
      </c>
      <c r="AJ77" s="1">
        <v>6.28</v>
      </c>
      <c r="AK77" s="1">
        <v>416</v>
      </c>
      <c r="AL77" s="1">
        <v>244.5</v>
      </c>
      <c r="AM77" s="1">
        <v>660.5</v>
      </c>
      <c r="AN77" s="1">
        <v>3152.5</v>
      </c>
      <c r="AO77" s="1">
        <v>1904.25</v>
      </c>
      <c r="AP77" s="1">
        <v>5056.75</v>
      </c>
      <c r="AQ77" s="1">
        <v>72070.75</v>
      </c>
      <c r="AR77" s="1">
        <v>46067.25</v>
      </c>
      <c r="AS77" s="1">
        <v>118138</v>
      </c>
      <c r="AT77">
        <v>129.75</v>
      </c>
      <c r="AU77">
        <v>56</v>
      </c>
      <c r="AV77">
        <v>185.75</v>
      </c>
      <c r="AW77">
        <v>1869</v>
      </c>
      <c r="AX77">
        <v>607.5</v>
      </c>
      <c r="AY77">
        <v>2476.5</v>
      </c>
      <c r="AZ77">
        <v>27785.25</v>
      </c>
      <c r="BA77">
        <v>9460</v>
      </c>
      <c r="BB77">
        <v>37245.25</v>
      </c>
    </row>
    <row r="78" spans="1:54" x14ac:dyDescent="0.25">
      <c r="A78" s="1" t="s">
        <v>38</v>
      </c>
      <c r="B78" s="1">
        <v>2022</v>
      </c>
      <c r="C78" s="1">
        <v>1.2887499999999998</v>
      </c>
      <c r="D78" s="1">
        <v>8.8837499999999991</v>
      </c>
      <c r="E78" s="1">
        <v>6.67</v>
      </c>
      <c r="F78" s="1">
        <v>5.0175000000000001</v>
      </c>
      <c r="G78" s="1">
        <v>3.9725000000000001</v>
      </c>
      <c r="H78" s="1">
        <v>36</v>
      </c>
      <c r="I78" s="1">
        <v>28</v>
      </c>
      <c r="J78" s="1">
        <v>844</v>
      </c>
      <c r="K78" s="1">
        <v>401.75</v>
      </c>
      <c r="L78" s="1">
        <v>12546</v>
      </c>
      <c r="M78" s="1">
        <v>5283.25</v>
      </c>
      <c r="N78" s="1">
        <f t="shared" si="16"/>
        <v>64</v>
      </c>
      <c r="O78" s="1">
        <f t="shared" si="17"/>
        <v>1245.75</v>
      </c>
      <c r="P78" s="1">
        <f t="shared" si="18"/>
        <v>17829.25</v>
      </c>
      <c r="Q78" s="1">
        <v>20</v>
      </c>
      <c r="R78" s="1">
        <v>15.25</v>
      </c>
      <c r="S78" s="1">
        <v>513.25</v>
      </c>
      <c r="T78" s="1">
        <v>254</v>
      </c>
      <c r="U78" s="1">
        <v>5634.5</v>
      </c>
      <c r="V78" s="1">
        <v>3192.75</v>
      </c>
      <c r="W78" s="1">
        <f t="shared" si="19"/>
        <v>35.25</v>
      </c>
      <c r="X78" s="1">
        <f t="shared" si="20"/>
        <v>767.25</v>
      </c>
      <c r="Y78" s="1">
        <f t="shared" si="21"/>
        <v>8827.25</v>
      </c>
      <c r="Z78" s="1">
        <v>1.885</v>
      </c>
      <c r="AA78" s="1">
        <v>1.5725</v>
      </c>
      <c r="AB78" s="1">
        <f t="shared" si="14"/>
        <v>1.72875</v>
      </c>
      <c r="AC78" s="1">
        <v>2.83</v>
      </c>
      <c r="AD78" s="1">
        <v>2.78</v>
      </c>
      <c r="AE78" s="1">
        <f t="shared" si="15"/>
        <v>2.8049999999999997</v>
      </c>
      <c r="AF78" s="1">
        <f t="shared" si="15"/>
        <v>2.7924999999999995</v>
      </c>
      <c r="AG78" s="1">
        <v>21.087499999999999</v>
      </c>
      <c r="AH78" s="1">
        <v>20.414999999999999</v>
      </c>
      <c r="AI78" s="1">
        <v>16.482500000000002</v>
      </c>
      <c r="AJ78" s="1">
        <v>6.28</v>
      </c>
      <c r="AK78" s="1">
        <v>416</v>
      </c>
      <c r="AL78" s="1">
        <v>244.5</v>
      </c>
      <c r="AM78" s="1">
        <v>660.5</v>
      </c>
      <c r="AN78" s="1">
        <v>3152.5</v>
      </c>
      <c r="AO78" s="1">
        <v>1904.25</v>
      </c>
      <c r="AP78" s="1">
        <v>5056.75</v>
      </c>
      <c r="AQ78" s="1">
        <v>72070.75</v>
      </c>
      <c r="AR78" s="1">
        <v>46067.25</v>
      </c>
      <c r="AS78" s="1">
        <v>118138</v>
      </c>
      <c r="AT78">
        <v>129.75</v>
      </c>
      <c r="AU78">
        <v>56</v>
      </c>
      <c r="AV78">
        <v>185.75</v>
      </c>
      <c r="AW78">
        <v>1869</v>
      </c>
      <c r="AX78">
        <v>607.5</v>
      </c>
      <c r="AY78">
        <v>2476.5</v>
      </c>
      <c r="AZ78">
        <v>27785.25</v>
      </c>
      <c r="BA78">
        <v>9460</v>
      </c>
      <c r="BB78">
        <v>37245.25</v>
      </c>
    </row>
    <row r="79" spans="1:54" x14ac:dyDescent="0.25">
      <c r="A79" s="1" t="s">
        <v>39</v>
      </c>
      <c r="B79" s="1">
        <v>2022</v>
      </c>
      <c r="C79" s="1">
        <v>7.5150000000000006</v>
      </c>
      <c r="D79" s="1">
        <v>12.324999999999999</v>
      </c>
      <c r="E79" s="1">
        <v>9.5549999999999997</v>
      </c>
      <c r="F79" s="1">
        <v>23.22</v>
      </c>
      <c r="G79" s="1">
        <v>40.69</v>
      </c>
      <c r="H79" s="1">
        <v>6987</v>
      </c>
      <c r="I79" s="1">
        <v>7249</v>
      </c>
      <c r="J79" s="1">
        <v>250089</v>
      </c>
      <c r="K79" s="1">
        <v>97888</v>
      </c>
      <c r="L79" s="1">
        <v>3819392</v>
      </c>
      <c r="M79" s="1">
        <v>1349183</v>
      </c>
      <c r="N79" s="1">
        <f t="shared" si="16"/>
        <v>14236</v>
      </c>
      <c r="O79" s="1">
        <f t="shared" si="17"/>
        <v>347977</v>
      </c>
      <c r="P79" s="1">
        <f t="shared" si="18"/>
        <v>5168575</v>
      </c>
      <c r="Q79" s="1">
        <v>3692</v>
      </c>
      <c r="R79" s="1">
        <v>10573</v>
      </c>
      <c r="S79" s="1">
        <v>166472</v>
      </c>
      <c r="T79" s="1">
        <v>170799</v>
      </c>
      <c r="U79" s="1">
        <v>2381888</v>
      </c>
      <c r="V79" s="1">
        <v>2672426</v>
      </c>
      <c r="W79" s="1">
        <f t="shared" si="19"/>
        <v>14265</v>
      </c>
      <c r="X79" s="1">
        <f t="shared" si="20"/>
        <v>337271</v>
      </c>
      <c r="Y79" s="1">
        <f t="shared" si="21"/>
        <v>5054314</v>
      </c>
      <c r="Z79" s="1">
        <v>8.99</v>
      </c>
      <c r="AA79" s="1">
        <v>8.39</v>
      </c>
      <c r="AB79" s="1">
        <f t="shared" si="14"/>
        <v>8.6900000000000013</v>
      </c>
      <c r="AC79" s="1">
        <v>12.96</v>
      </c>
      <c r="AD79" s="1">
        <v>13.28</v>
      </c>
      <c r="AE79" s="1">
        <f t="shared" si="15"/>
        <v>13.120000000000001</v>
      </c>
      <c r="AF79" s="1">
        <f t="shared" si="15"/>
        <v>13.2</v>
      </c>
      <c r="AG79" s="1">
        <v>99.1</v>
      </c>
      <c r="AH79" s="1">
        <v>95.92</v>
      </c>
      <c r="AI79" s="1">
        <v>73.150000000000006</v>
      </c>
      <c r="AJ79" s="1">
        <v>27.61</v>
      </c>
      <c r="AK79" s="1">
        <v>130042</v>
      </c>
      <c r="AL79" s="1">
        <v>18933</v>
      </c>
      <c r="AM79" s="1">
        <v>148975</v>
      </c>
      <c r="AN79" s="1">
        <v>1373257</v>
      </c>
      <c r="AO79" s="1">
        <v>232252</v>
      </c>
      <c r="AP79" s="1">
        <v>1605509</v>
      </c>
      <c r="AQ79" s="1">
        <v>20366178</v>
      </c>
      <c r="AR79" s="1">
        <v>3710333</v>
      </c>
      <c r="AS79" s="1">
        <v>24076511</v>
      </c>
      <c r="AT79">
        <v>23864</v>
      </c>
      <c r="AU79">
        <v>18122</v>
      </c>
      <c r="AV79">
        <v>41986</v>
      </c>
      <c r="AW79">
        <v>517227</v>
      </c>
      <c r="AX79">
        <v>191448</v>
      </c>
      <c r="AY79">
        <v>708675</v>
      </c>
      <c r="AZ79">
        <v>7185398</v>
      </c>
      <c r="BA79">
        <v>2701201</v>
      </c>
      <c r="BB79">
        <v>9886599</v>
      </c>
    </row>
    <row r="80" spans="1:54" x14ac:dyDescent="0.25">
      <c r="A80" s="1" t="s">
        <v>1</v>
      </c>
      <c r="B80" s="1">
        <v>2023</v>
      </c>
      <c r="C80" s="1">
        <v>9.7899999999999991</v>
      </c>
      <c r="D80" s="1">
        <v>16.920000000000002</v>
      </c>
      <c r="E80" s="1">
        <v>14.45</v>
      </c>
      <c r="F80" s="1">
        <v>29.02</v>
      </c>
      <c r="G80" s="1">
        <v>40.14</v>
      </c>
      <c r="H80" s="1">
        <v>394</v>
      </c>
      <c r="I80" s="1">
        <v>145</v>
      </c>
      <c r="J80" s="1">
        <v>12463</v>
      </c>
      <c r="K80" s="1">
        <v>1593</v>
      </c>
      <c r="L80" s="1">
        <v>118487</v>
      </c>
      <c r="M80" s="1">
        <v>19170</v>
      </c>
      <c r="N80" s="1">
        <f t="shared" si="16"/>
        <v>539</v>
      </c>
      <c r="O80" s="1">
        <f t="shared" si="17"/>
        <v>14056</v>
      </c>
      <c r="P80" s="1">
        <f t="shared" si="18"/>
        <v>137657</v>
      </c>
      <c r="Q80" s="1">
        <v>153</v>
      </c>
      <c r="R80" s="1">
        <v>69</v>
      </c>
      <c r="S80" s="1">
        <v>6450</v>
      </c>
      <c r="T80" s="1">
        <v>807</v>
      </c>
      <c r="U80" s="1">
        <v>46341</v>
      </c>
      <c r="V80" s="1">
        <v>7759</v>
      </c>
      <c r="W80" s="1">
        <f t="shared" si="19"/>
        <v>222</v>
      </c>
      <c r="X80" s="1">
        <f t="shared" si="20"/>
        <v>7257</v>
      </c>
      <c r="Y80" s="1">
        <f t="shared" si="21"/>
        <v>54100</v>
      </c>
      <c r="Z80" s="1">
        <v>9.6999999999999993</v>
      </c>
      <c r="AA80" s="1">
        <v>9.4</v>
      </c>
      <c r="AB80" s="1">
        <f>(Z80+AA80)/2</f>
        <v>9.5500000000000007</v>
      </c>
      <c r="AC80" s="1">
        <v>14.28</v>
      </c>
      <c r="AD80" s="1">
        <v>14.61</v>
      </c>
      <c r="AE80" s="1">
        <f>(AC80+AD80)/2</f>
        <v>14.445</v>
      </c>
      <c r="AF80" s="1">
        <f>(AD80+AE80)/2</f>
        <v>14.5275</v>
      </c>
      <c r="AG80" s="1">
        <v>99.43</v>
      </c>
      <c r="AH80" s="1">
        <v>97.72</v>
      </c>
      <c r="AI80" s="1">
        <v>83.41</v>
      </c>
      <c r="AJ80" s="1">
        <v>35.24</v>
      </c>
      <c r="AK80" s="3">
        <v>3335</v>
      </c>
      <c r="AL80" s="3">
        <v>197</v>
      </c>
      <c r="AM80" s="3">
        <v>3532</v>
      </c>
      <c r="AN80" s="3">
        <v>46800</v>
      </c>
      <c r="AO80" s="3">
        <v>2752</v>
      </c>
      <c r="AP80" s="3">
        <v>49552</v>
      </c>
      <c r="AQ80" s="3">
        <v>451761</v>
      </c>
      <c r="AR80" s="3">
        <v>38102</v>
      </c>
      <c r="AS80" s="3">
        <v>489863</v>
      </c>
      <c r="AT80">
        <v>903</v>
      </c>
      <c r="AU80">
        <v>391</v>
      </c>
      <c r="AV80">
        <v>1294</v>
      </c>
      <c r="AW80">
        <v>20210</v>
      </c>
      <c r="AX80">
        <v>4047</v>
      </c>
      <c r="AY80">
        <v>24257</v>
      </c>
      <c r="AZ80">
        <v>153398</v>
      </c>
      <c r="BA80">
        <v>48788</v>
      </c>
      <c r="BB80">
        <v>202186</v>
      </c>
    </row>
    <row r="81" spans="1:54" x14ac:dyDescent="0.25">
      <c r="A81" s="1" t="s">
        <v>2</v>
      </c>
      <c r="B81" s="1">
        <v>2023</v>
      </c>
      <c r="C81" s="1">
        <v>8.23</v>
      </c>
      <c r="D81" s="1">
        <v>8.0299999999999994</v>
      </c>
      <c r="E81" s="1">
        <v>8.15</v>
      </c>
      <c r="F81" s="1">
        <v>20.079999999999998</v>
      </c>
      <c r="G81" s="1">
        <v>41.48</v>
      </c>
      <c r="H81" s="1">
        <v>432</v>
      </c>
      <c r="I81" s="1">
        <v>635</v>
      </c>
      <c r="J81" s="1">
        <v>16265</v>
      </c>
      <c r="K81" s="1">
        <v>8137</v>
      </c>
      <c r="L81" s="1">
        <v>248734</v>
      </c>
      <c r="M81" s="1">
        <v>141165</v>
      </c>
      <c r="N81" s="1">
        <f t="shared" si="16"/>
        <v>1067</v>
      </c>
      <c r="O81" s="1">
        <f t="shared" si="17"/>
        <v>24402</v>
      </c>
      <c r="P81" s="1">
        <f t="shared" si="18"/>
        <v>389899</v>
      </c>
      <c r="Q81" s="1">
        <v>274</v>
      </c>
      <c r="R81" s="1">
        <v>685</v>
      </c>
      <c r="S81" s="1">
        <v>10835</v>
      </c>
      <c r="T81" s="1">
        <v>10156</v>
      </c>
      <c r="U81" s="1">
        <v>138169</v>
      </c>
      <c r="V81" s="1">
        <v>166396</v>
      </c>
      <c r="W81" s="1">
        <f t="shared" si="19"/>
        <v>959</v>
      </c>
      <c r="X81" s="1">
        <f t="shared" si="20"/>
        <v>20991</v>
      </c>
      <c r="Y81" s="1">
        <f t="shared" si="21"/>
        <v>304565</v>
      </c>
      <c r="Z81" s="1">
        <v>10.02</v>
      </c>
      <c r="AA81" s="1">
        <v>9.6300000000000008</v>
      </c>
      <c r="AB81" s="1">
        <f t="shared" ref="AB81:AB118" si="22">(Z81+AA81)/2</f>
        <v>9.8249999999999993</v>
      </c>
      <c r="AC81" s="1">
        <v>13.26</v>
      </c>
      <c r="AD81" s="1">
        <v>13.73</v>
      </c>
      <c r="AE81" s="1">
        <f t="shared" ref="AE81:AF118" si="23">(AC81+AD81)/2</f>
        <v>13.495000000000001</v>
      </c>
      <c r="AF81" s="1">
        <f t="shared" si="23"/>
        <v>13.612500000000001</v>
      </c>
      <c r="AG81" s="1">
        <v>99.51</v>
      </c>
      <c r="AH81" s="1">
        <v>96.76</v>
      </c>
      <c r="AI81" s="1">
        <v>79.25</v>
      </c>
      <c r="AJ81" s="1">
        <v>31.08</v>
      </c>
      <c r="AK81" s="3">
        <v>8167</v>
      </c>
      <c r="AL81" s="3">
        <v>1584</v>
      </c>
      <c r="AM81" s="3">
        <v>9751</v>
      </c>
      <c r="AN81" s="3">
        <v>92997</v>
      </c>
      <c r="AO81" s="3">
        <v>18881</v>
      </c>
      <c r="AP81" s="3">
        <v>111878</v>
      </c>
      <c r="AQ81" s="3">
        <v>1177930</v>
      </c>
      <c r="AR81" s="3">
        <v>346551</v>
      </c>
      <c r="AS81" s="3">
        <v>1524481</v>
      </c>
      <c r="AT81">
        <v>1339</v>
      </c>
      <c r="AU81">
        <v>1348</v>
      </c>
      <c r="AV81">
        <v>2687</v>
      </c>
      <c r="AW81">
        <v>32185</v>
      </c>
      <c r="AX81">
        <v>13543</v>
      </c>
      <c r="AY81">
        <v>45728</v>
      </c>
      <c r="AZ81">
        <v>411355</v>
      </c>
      <c r="BA81">
        <v>210727</v>
      </c>
      <c r="BB81">
        <v>622082</v>
      </c>
    </row>
    <row r="82" spans="1:54" x14ac:dyDescent="0.25">
      <c r="A82" s="1" t="s">
        <v>3</v>
      </c>
      <c r="B82" s="1">
        <v>2023</v>
      </c>
      <c r="C82" s="1">
        <v>4.67</v>
      </c>
      <c r="D82" s="1">
        <v>7.23</v>
      </c>
      <c r="E82" s="1">
        <v>5.95</v>
      </c>
      <c r="F82" s="1">
        <v>23</v>
      </c>
      <c r="G82" s="1">
        <v>35.81</v>
      </c>
      <c r="H82" s="1">
        <v>236</v>
      </c>
      <c r="I82" s="1">
        <v>102</v>
      </c>
      <c r="J82" s="1">
        <v>9800</v>
      </c>
      <c r="K82" s="1">
        <v>1340</v>
      </c>
      <c r="L82" s="1">
        <v>138979</v>
      </c>
      <c r="M82" s="1">
        <v>14556</v>
      </c>
      <c r="N82" s="1">
        <f t="shared" si="16"/>
        <v>338</v>
      </c>
      <c r="O82" s="1">
        <f t="shared" si="17"/>
        <v>11140</v>
      </c>
      <c r="P82" s="1">
        <f t="shared" si="18"/>
        <v>153535</v>
      </c>
      <c r="Q82" s="1">
        <v>115</v>
      </c>
      <c r="R82" s="1">
        <v>97</v>
      </c>
      <c r="S82" s="1">
        <v>6017</v>
      </c>
      <c r="T82" s="1">
        <v>1446</v>
      </c>
      <c r="U82" s="1">
        <v>75274</v>
      </c>
      <c r="V82" s="1">
        <v>13008</v>
      </c>
      <c r="W82" s="1">
        <f t="shared" si="19"/>
        <v>212</v>
      </c>
      <c r="X82" s="1">
        <f t="shared" si="20"/>
        <v>7463</v>
      </c>
      <c r="Y82" s="1">
        <f t="shared" si="21"/>
        <v>88282</v>
      </c>
      <c r="Z82" s="1">
        <v>9.1999999999999993</v>
      </c>
      <c r="AA82" s="1">
        <v>9.3699999999999992</v>
      </c>
      <c r="AB82" s="1">
        <f t="shared" si="22"/>
        <v>9.2850000000000001</v>
      </c>
      <c r="AC82" s="1">
        <v>13.8</v>
      </c>
      <c r="AD82" s="1">
        <v>14.63</v>
      </c>
      <c r="AE82" s="1">
        <f t="shared" si="23"/>
        <v>14.215</v>
      </c>
      <c r="AF82" s="1">
        <f t="shared" si="23"/>
        <v>14.422499999999999</v>
      </c>
      <c r="AG82" s="1">
        <v>99.76</v>
      </c>
      <c r="AH82" s="1">
        <v>96.79</v>
      </c>
      <c r="AI82" s="1">
        <v>84.33</v>
      </c>
      <c r="AJ82" s="1">
        <v>42.19</v>
      </c>
      <c r="AK82" s="3">
        <v>3892</v>
      </c>
      <c r="AL82" s="3">
        <v>314</v>
      </c>
      <c r="AM82" s="3">
        <v>4206</v>
      </c>
      <c r="AN82" s="3">
        <v>43297</v>
      </c>
      <c r="AO82" s="3">
        <v>4789</v>
      </c>
      <c r="AP82" s="3">
        <v>48086</v>
      </c>
      <c r="AQ82" s="3">
        <v>521822</v>
      </c>
      <c r="AR82" s="3">
        <v>70543</v>
      </c>
      <c r="AS82" s="3">
        <v>592365</v>
      </c>
      <c r="AT82">
        <v>675</v>
      </c>
      <c r="AU82">
        <v>183</v>
      </c>
      <c r="AV82">
        <v>858</v>
      </c>
      <c r="AW82">
        <v>15624</v>
      </c>
      <c r="AX82">
        <v>2315</v>
      </c>
      <c r="AY82">
        <v>17939</v>
      </c>
      <c r="AZ82">
        <v>177358</v>
      </c>
      <c r="BA82">
        <v>24144</v>
      </c>
      <c r="BB82">
        <v>201502</v>
      </c>
    </row>
    <row r="83" spans="1:54" x14ac:dyDescent="0.25">
      <c r="A83" s="1" t="s">
        <v>4</v>
      </c>
      <c r="B83" s="1">
        <v>2023</v>
      </c>
      <c r="C83" s="1">
        <v>6.73</v>
      </c>
      <c r="D83" s="1">
        <v>6.65</v>
      </c>
      <c r="E83" s="1">
        <v>6.68</v>
      </c>
      <c r="F83" s="1">
        <v>23.26</v>
      </c>
      <c r="G83" s="1">
        <v>47.87</v>
      </c>
      <c r="H83" s="1">
        <v>313</v>
      </c>
      <c r="I83" s="1">
        <v>154</v>
      </c>
      <c r="J83" s="1">
        <v>10280</v>
      </c>
      <c r="K83" s="1">
        <v>2093</v>
      </c>
      <c r="L83" s="1">
        <v>148011</v>
      </c>
      <c r="M83" s="1">
        <v>24284</v>
      </c>
      <c r="N83" s="1">
        <f t="shared" si="16"/>
        <v>467</v>
      </c>
      <c r="O83" s="1">
        <f t="shared" si="17"/>
        <v>12373</v>
      </c>
      <c r="P83" s="1">
        <f t="shared" si="18"/>
        <v>172295</v>
      </c>
      <c r="Q83" s="1">
        <v>138</v>
      </c>
      <c r="R83" s="1">
        <v>168</v>
      </c>
      <c r="S83" s="1">
        <v>5360</v>
      </c>
      <c r="T83" s="1">
        <v>3106</v>
      </c>
      <c r="U83" s="1">
        <v>68528</v>
      </c>
      <c r="V83" s="1">
        <v>36797</v>
      </c>
      <c r="W83" s="1">
        <f t="shared" si="19"/>
        <v>306</v>
      </c>
      <c r="X83" s="1">
        <f t="shared" si="20"/>
        <v>8466</v>
      </c>
      <c r="Y83" s="1">
        <f t="shared" si="21"/>
        <v>105325</v>
      </c>
      <c r="Z83" s="1">
        <v>9.4700000000000006</v>
      </c>
      <c r="AA83" s="1">
        <v>9.1999999999999993</v>
      </c>
      <c r="AB83" s="1">
        <f t="shared" si="22"/>
        <v>9.3350000000000009</v>
      </c>
      <c r="AC83" s="1">
        <v>13.22</v>
      </c>
      <c r="AD83" s="1">
        <v>13.58</v>
      </c>
      <c r="AE83" s="1">
        <f t="shared" si="23"/>
        <v>13.4</v>
      </c>
      <c r="AF83" s="1">
        <f t="shared" si="23"/>
        <v>13.49</v>
      </c>
      <c r="AG83" s="1">
        <v>99.65</v>
      </c>
      <c r="AH83" s="1">
        <v>95.89</v>
      </c>
      <c r="AI83" s="1">
        <v>78.150000000000006</v>
      </c>
      <c r="AJ83" s="1">
        <v>32.32</v>
      </c>
      <c r="AK83" s="3">
        <v>3230</v>
      </c>
      <c r="AL83" s="3">
        <v>585</v>
      </c>
      <c r="AM83" s="3">
        <v>3815</v>
      </c>
      <c r="AN83" s="3">
        <v>43539</v>
      </c>
      <c r="AO83" s="3">
        <v>8985</v>
      </c>
      <c r="AP83" s="3">
        <v>52524</v>
      </c>
      <c r="AQ83" s="3">
        <v>633978</v>
      </c>
      <c r="AR83" s="3">
        <v>142596</v>
      </c>
      <c r="AS83" s="3">
        <v>776574</v>
      </c>
      <c r="AT83">
        <v>874</v>
      </c>
      <c r="AU83">
        <v>395</v>
      </c>
      <c r="AV83">
        <v>1269</v>
      </c>
      <c r="AW83">
        <v>16457</v>
      </c>
      <c r="AX83">
        <v>4562</v>
      </c>
      <c r="AY83">
        <v>21019</v>
      </c>
      <c r="AZ83">
        <v>204418</v>
      </c>
      <c r="BA83">
        <v>56952</v>
      </c>
      <c r="BB83">
        <v>261370</v>
      </c>
    </row>
    <row r="84" spans="1:54" x14ac:dyDescent="0.25">
      <c r="A84" s="1" t="s">
        <v>5</v>
      </c>
      <c r="B84" s="1">
        <v>2023</v>
      </c>
      <c r="C84" s="1">
        <v>10.19</v>
      </c>
      <c r="D84" s="1">
        <v>6.28</v>
      </c>
      <c r="E84" s="1">
        <v>7.58</v>
      </c>
      <c r="F84" s="1">
        <v>22.26</v>
      </c>
      <c r="G84" s="1">
        <v>40.270000000000003</v>
      </c>
      <c r="H84" s="1">
        <v>163</v>
      </c>
      <c r="I84" s="1">
        <v>84</v>
      </c>
      <c r="J84" s="1">
        <v>5327</v>
      </c>
      <c r="K84" s="1">
        <v>804</v>
      </c>
      <c r="L84" s="1">
        <v>71000</v>
      </c>
      <c r="M84" s="1">
        <v>10429</v>
      </c>
      <c r="N84" s="1">
        <f t="shared" si="16"/>
        <v>247</v>
      </c>
      <c r="O84" s="1">
        <f t="shared" si="17"/>
        <v>6131</v>
      </c>
      <c r="P84" s="1">
        <f t="shared" si="18"/>
        <v>81429</v>
      </c>
      <c r="Q84" s="1">
        <v>107</v>
      </c>
      <c r="R84" s="1">
        <v>74</v>
      </c>
      <c r="S84" s="1">
        <v>3553</v>
      </c>
      <c r="T84" s="1">
        <v>923</v>
      </c>
      <c r="U84" s="1">
        <v>38401</v>
      </c>
      <c r="V84" s="1">
        <v>10828</v>
      </c>
      <c r="W84" s="1">
        <f t="shared" si="19"/>
        <v>181</v>
      </c>
      <c r="X84" s="1">
        <f t="shared" si="20"/>
        <v>4476</v>
      </c>
      <c r="Y84" s="1">
        <f t="shared" si="21"/>
        <v>49229</v>
      </c>
      <c r="Z84" s="1">
        <v>9.09</v>
      </c>
      <c r="AA84" s="1">
        <v>8.5299999999999994</v>
      </c>
      <c r="AB84" s="1">
        <f t="shared" si="22"/>
        <v>8.8099999999999987</v>
      </c>
      <c r="AC84" s="1">
        <v>12.98</v>
      </c>
      <c r="AD84" s="1">
        <v>13.47</v>
      </c>
      <c r="AE84" s="1">
        <f t="shared" si="23"/>
        <v>13.225000000000001</v>
      </c>
      <c r="AF84" s="1">
        <f t="shared" si="23"/>
        <v>13.3475</v>
      </c>
      <c r="AG84" s="1">
        <v>99.49</v>
      </c>
      <c r="AH84" s="1">
        <v>96.01</v>
      </c>
      <c r="AI84" s="1">
        <v>72.459999999999994</v>
      </c>
      <c r="AJ84" s="1">
        <v>25.79</v>
      </c>
      <c r="AK84" s="3">
        <v>2304</v>
      </c>
      <c r="AL84" s="3">
        <v>160</v>
      </c>
      <c r="AM84" s="3">
        <v>2464</v>
      </c>
      <c r="AN84" s="3">
        <v>25356</v>
      </c>
      <c r="AO84" s="3">
        <v>2224</v>
      </c>
      <c r="AP84" s="3">
        <v>27580</v>
      </c>
      <c r="AQ84" s="3">
        <v>333373</v>
      </c>
      <c r="AR84" s="3">
        <v>35247</v>
      </c>
      <c r="AS84" s="3">
        <v>368620</v>
      </c>
      <c r="AT84">
        <v>558</v>
      </c>
      <c r="AU84">
        <v>150</v>
      </c>
      <c r="AV84">
        <v>708</v>
      </c>
      <c r="AW84">
        <v>9964</v>
      </c>
      <c r="AX84">
        <v>1498</v>
      </c>
      <c r="AY84">
        <v>11462</v>
      </c>
      <c r="AZ84">
        <v>98709</v>
      </c>
      <c r="BA84">
        <v>21047</v>
      </c>
      <c r="BB84">
        <v>119756</v>
      </c>
    </row>
    <row r="85" spans="1:54" x14ac:dyDescent="0.25">
      <c r="A85" s="1" t="s">
        <v>6</v>
      </c>
      <c r="B85" s="1">
        <v>2023</v>
      </c>
      <c r="C85" s="1">
        <v>11.07</v>
      </c>
      <c r="D85" s="1">
        <v>12.21</v>
      </c>
      <c r="E85" s="1">
        <v>11.78</v>
      </c>
      <c r="F85" s="1">
        <v>23.37</v>
      </c>
      <c r="G85" s="1">
        <v>37.03</v>
      </c>
      <c r="H85" s="1">
        <v>330</v>
      </c>
      <c r="I85" s="1">
        <v>283</v>
      </c>
      <c r="J85" s="1">
        <v>12180</v>
      </c>
      <c r="K85" s="1">
        <v>3276</v>
      </c>
      <c r="L85" s="1">
        <v>171193</v>
      </c>
      <c r="M85" s="1">
        <v>48921</v>
      </c>
      <c r="N85" s="1">
        <f t="shared" si="16"/>
        <v>613</v>
      </c>
      <c r="O85" s="1">
        <f t="shared" si="17"/>
        <v>15456</v>
      </c>
      <c r="P85" s="1">
        <f t="shared" si="18"/>
        <v>220114</v>
      </c>
      <c r="Q85" s="1">
        <v>121</v>
      </c>
      <c r="R85" s="1">
        <v>193</v>
      </c>
      <c r="S85" s="1">
        <v>5853</v>
      </c>
      <c r="T85" s="1">
        <v>2981</v>
      </c>
      <c r="U85" s="1">
        <v>78601</v>
      </c>
      <c r="V85" s="1">
        <v>47324</v>
      </c>
      <c r="W85" s="1">
        <f t="shared" si="19"/>
        <v>314</v>
      </c>
      <c r="X85" s="1">
        <f t="shared" si="20"/>
        <v>8834</v>
      </c>
      <c r="Y85" s="1">
        <f t="shared" si="21"/>
        <v>125925</v>
      </c>
      <c r="Z85" s="1">
        <v>8.67</v>
      </c>
      <c r="AA85" s="1">
        <v>8.33</v>
      </c>
      <c r="AB85" s="1">
        <f t="shared" si="22"/>
        <v>8.5</v>
      </c>
      <c r="AC85" s="1">
        <v>12.53</v>
      </c>
      <c r="AD85" s="1">
        <v>12.93</v>
      </c>
      <c r="AE85" s="1">
        <f t="shared" si="23"/>
        <v>12.73</v>
      </c>
      <c r="AF85" s="1">
        <f t="shared" si="23"/>
        <v>12.83</v>
      </c>
      <c r="AG85" s="1">
        <v>99.41</v>
      </c>
      <c r="AH85" s="1">
        <v>95.27</v>
      </c>
      <c r="AI85" s="1">
        <v>71.709999999999994</v>
      </c>
      <c r="AJ85" s="1">
        <v>21.49</v>
      </c>
      <c r="AK85" s="3">
        <v>4249</v>
      </c>
      <c r="AL85" s="3">
        <v>470</v>
      </c>
      <c r="AM85" s="3">
        <v>4719</v>
      </c>
      <c r="AN85" s="3">
        <v>55364</v>
      </c>
      <c r="AO85" s="3">
        <v>5866</v>
      </c>
      <c r="AP85" s="3">
        <v>61230</v>
      </c>
      <c r="AQ85" s="3">
        <v>792830</v>
      </c>
      <c r="AR85" s="3">
        <v>89181</v>
      </c>
      <c r="AS85" s="3">
        <v>882011</v>
      </c>
      <c r="AT85">
        <v>908</v>
      </c>
      <c r="AU85">
        <v>530</v>
      </c>
      <c r="AV85">
        <v>1438</v>
      </c>
      <c r="AW85">
        <v>21469</v>
      </c>
      <c r="AX85">
        <v>5004</v>
      </c>
      <c r="AY85">
        <v>26473</v>
      </c>
      <c r="AZ85">
        <v>287347</v>
      </c>
      <c r="BA85">
        <v>69133</v>
      </c>
      <c r="BB85">
        <v>356480</v>
      </c>
    </row>
    <row r="86" spans="1:54" x14ac:dyDescent="0.25">
      <c r="A86" s="1" t="s">
        <v>7</v>
      </c>
      <c r="B86" s="1">
        <v>2023</v>
      </c>
      <c r="C86" s="1">
        <v>14.21</v>
      </c>
      <c r="D86" s="1">
        <v>13.96</v>
      </c>
      <c r="E86" s="1">
        <v>14.04</v>
      </c>
      <c r="F86" s="1">
        <v>21.77</v>
      </c>
      <c r="G86" s="1">
        <v>32.229999999999997</v>
      </c>
      <c r="H86" s="1">
        <v>109</v>
      </c>
      <c r="I86" s="1">
        <v>42</v>
      </c>
      <c r="J86" s="1">
        <v>3936</v>
      </c>
      <c r="K86" s="1">
        <v>351</v>
      </c>
      <c r="L86" s="1">
        <v>51685</v>
      </c>
      <c r="M86" s="1">
        <v>3009</v>
      </c>
      <c r="N86" s="1">
        <f t="shared" si="16"/>
        <v>151</v>
      </c>
      <c r="O86" s="1">
        <f t="shared" si="17"/>
        <v>4287</v>
      </c>
      <c r="P86" s="1">
        <f t="shared" si="18"/>
        <v>54694</v>
      </c>
      <c r="Q86" s="1">
        <v>65</v>
      </c>
      <c r="R86" s="1">
        <v>38</v>
      </c>
      <c r="S86" s="1">
        <v>2613</v>
      </c>
      <c r="T86" s="1">
        <v>447</v>
      </c>
      <c r="U86" s="1">
        <v>25124</v>
      </c>
      <c r="V86" s="1">
        <v>3418</v>
      </c>
      <c r="W86" s="1">
        <f t="shared" si="19"/>
        <v>103</v>
      </c>
      <c r="X86" s="1">
        <f t="shared" si="20"/>
        <v>3060</v>
      </c>
      <c r="Y86" s="1">
        <f t="shared" si="21"/>
        <v>28542</v>
      </c>
      <c r="Z86" s="1">
        <v>9.25</v>
      </c>
      <c r="AA86" s="1">
        <v>8.8000000000000007</v>
      </c>
      <c r="AB86" s="1">
        <f t="shared" si="22"/>
        <v>9.0250000000000004</v>
      </c>
      <c r="AC86" s="1">
        <v>13.69</v>
      </c>
      <c r="AD86" s="1">
        <v>14.13</v>
      </c>
      <c r="AE86" s="1">
        <f t="shared" si="23"/>
        <v>13.91</v>
      </c>
      <c r="AF86" s="1">
        <f t="shared" si="23"/>
        <v>14.02</v>
      </c>
      <c r="AG86" s="1">
        <v>99.42</v>
      </c>
      <c r="AH86" s="1">
        <v>97.91</v>
      </c>
      <c r="AI86" s="1">
        <v>79.569999999999993</v>
      </c>
      <c r="AJ86" s="1">
        <v>34.049999999999997</v>
      </c>
      <c r="AK86" s="3">
        <v>1289</v>
      </c>
      <c r="AL86" s="3">
        <v>118</v>
      </c>
      <c r="AM86" s="3">
        <v>1407</v>
      </c>
      <c r="AN86" s="3">
        <v>15053</v>
      </c>
      <c r="AO86" s="3">
        <v>1809</v>
      </c>
      <c r="AP86" s="3">
        <v>16862</v>
      </c>
      <c r="AQ86" s="3">
        <v>172400</v>
      </c>
      <c r="AR86" s="3">
        <v>22470</v>
      </c>
      <c r="AS86" s="3">
        <v>194870</v>
      </c>
      <c r="AT86">
        <v>380</v>
      </c>
      <c r="AU86">
        <v>77</v>
      </c>
      <c r="AV86">
        <v>457</v>
      </c>
      <c r="AW86">
        <v>7507</v>
      </c>
      <c r="AX86">
        <v>828</v>
      </c>
      <c r="AY86">
        <v>8335</v>
      </c>
      <c r="AZ86">
        <v>76883</v>
      </c>
      <c r="BA86">
        <v>8619</v>
      </c>
      <c r="BB86">
        <v>85502</v>
      </c>
    </row>
    <row r="87" spans="1:54" x14ac:dyDescent="0.25">
      <c r="A87" s="1" t="s">
        <v>8</v>
      </c>
      <c r="B87" s="1">
        <v>2023</v>
      </c>
      <c r="C87" s="1">
        <v>8.02</v>
      </c>
      <c r="D87" s="1">
        <v>12.65</v>
      </c>
      <c r="E87" s="1">
        <v>11.11</v>
      </c>
      <c r="F87" s="1">
        <v>22.32</v>
      </c>
      <c r="G87" s="1">
        <v>29.33</v>
      </c>
      <c r="H87" s="1">
        <v>239</v>
      </c>
      <c r="I87" s="1">
        <v>288</v>
      </c>
      <c r="J87" s="1">
        <v>8363</v>
      </c>
      <c r="K87" s="1">
        <v>3342</v>
      </c>
      <c r="L87" s="1">
        <v>128161</v>
      </c>
      <c r="M87" s="1">
        <v>44657</v>
      </c>
      <c r="N87" s="1">
        <f t="shared" si="16"/>
        <v>527</v>
      </c>
      <c r="O87" s="1">
        <f t="shared" si="17"/>
        <v>11705</v>
      </c>
      <c r="P87" s="1">
        <f t="shared" si="18"/>
        <v>172818</v>
      </c>
      <c r="Q87" s="1">
        <v>111</v>
      </c>
      <c r="R87" s="1">
        <v>386</v>
      </c>
      <c r="S87" s="1">
        <v>4848</v>
      </c>
      <c r="T87" s="1">
        <v>5708</v>
      </c>
      <c r="U87" s="1">
        <v>68999</v>
      </c>
      <c r="V87" s="1">
        <v>81737</v>
      </c>
      <c r="W87" s="1">
        <f t="shared" si="19"/>
        <v>497</v>
      </c>
      <c r="X87" s="1">
        <f t="shared" si="20"/>
        <v>10556</v>
      </c>
      <c r="Y87" s="1">
        <f t="shared" si="21"/>
        <v>150736</v>
      </c>
      <c r="Z87" s="1">
        <v>8.57</v>
      </c>
      <c r="AA87" s="1">
        <v>8</v>
      </c>
      <c r="AB87" s="1">
        <f t="shared" si="22"/>
        <v>8.2850000000000001</v>
      </c>
      <c r="AC87" s="1">
        <v>12.68</v>
      </c>
      <c r="AD87" s="1">
        <v>13.01</v>
      </c>
      <c r="AE87" s="1">
        <f t="shared" si="23"/>
        <v>12.844999999999999</v>
      </c>
      <c r="AF87" s="1">
        <f t="shared" si="23"/>
        <v>12.927499999999998</v>
      </c>
      <c r="AG87" s="1">
        <v>99.61</v>
      </c>
      <c r="AH87" s="1">
        <v>95.93</v>
      </c>
      <c r="AI87" s="1">
        <v>71.739999999999995</v>
      </c>
      <c r="AJ87" s="1">
        <v>23.51</v>
      </c>
      <c r="AK87" s="3">
        <v>4297</v>
      </c>
      <c r="AL87" s="3">
        <v>429</v>
      </c>
      <c r="AM87" s="3">
        <v>4726</v>
      </c>
      <c r="AN87" s="3">
        <v>51980</v>
      </c>
      <c r="AO87" s="3">
        <v>5537</v>
      </c>
      <c r="AP87" s="3">
        <v>57517</v>
      </c>
      <c r="AQ87" s="3">
        <v>715542</v>
      </c>
      <c r="AR87" s="3">
        <v>83350</v>
      </c>
      <c r="AS87" s="3">
        <v>798892</v>
      </c>
      <c r="AT87">
        <v>709</v>
      </c>
      <c r="AU87">
        <v>746</v>
      </c>
      <c r="AV87">
        <v>1455</v>
      </c>
      <c r="AW87">
        <v>17221</v>
      </c>
      <c r="AX87">
        <v>7097</v>
      </c>
      <c r="AY87">
        <v>24318</v>
      </c>
      <c r="AZ87">
        <v>242619</v>
      </c>
      <c r="BA87">
        <v>94325</v>
      </c>
      <c r="BB87">
        <v>336944</v>
      </c>
    </row>
    <row r="88" spans="1:54" x14ac:dyDescent="0.25">
      <c r="A88" s="1" t="s">
        <v>9</v>
      </c>
      <c r="B88" s="1">
        <v>2023</v>
      </c>
      <c r="C88" s="1">
        <v>3.54</v>
      </c>
      <c r="D88" s="1">
        <v>5.85</v>
      </c>
      <c r="E88" s="1">
        <v>4.5199999999999996</v>
      </c>
      <c r="F88" s="1">
        <v>21.3</v>
      </c>
      <c r="G88" s="1">
        <v>48.93</v>
      </c>
      <c r="H88" s="1">
        <v>47</v>
      </c>
      <c r="I88" s="1">
        <v>27</v>
      </c>
      <c r="J88" s="1">
        <v>1493</v>
      </c>
      <c r="K88" s="1">
        <v>335</v>
      </c>
      <c r="L88" s="1">
        <v>27129</v>
      </c>
      <c r="M88" s="1">
        <v>4325</v>
      </c>
      <c r="N88" s="1">
        <f t="shared" si="16"/>
        <v>74</v>
      </c>
      <c r="O88" s="1">
        <f t="shared" si="17"/>
        <v>1828</v>
      </c>
      <c r="P88" s="1">
        <f t="shared" si="18"/>
        <v>31454</v>
      </c>
      <c r="Q88" s="1">
        <v>36</v>
      </c>
      <c r="R88" s="1">
        <v>23</v>
      </c>
      <c r="S88" s="1">
        <v>1353</v>
      </c>
      <c r="T88" s="1">
        <v>379</v>
      </c>
      <c r="U88" s="1">
        <v>19397</v>
      </c>
      <c r="V88" s="1">
        <v>5239</v>
      </c>
      <c r="W88" s="1">
        <f t="shared" si="19"/>
        <v>59</v>
      </c>
      <c r="X88" s="1">
        <f t="shared" si="20"/>
        <v>1732</v>
      </c>
      <c r="Y88" s="1">
        <f t="shared" si="21"/>
        <v>24636</v>
      </c>
      <c r="Z88" s="1">
        <v>8.4499999999999993</v>
      </c>
      <c r="AA88" s="1">
        <v>8.11</v>
      </c>
      <c r="AB88" s="1">
        <f t="shared" si="22"/>
        <v>8.2799999999999994</v>
      </c>
      <c r="AC88" s="1">
        <v>12.25</v>
      </c>
      <c r="AD88" s="1">
        <v>12.33</v>
      </c>
      <c r="AE88" s="1">
        <f t="shared" si="23"/>
        <v>12.29</v>
      </c>
      <c r="AF88" s="1">
        <f t="shared" si="23"/>
        <v>12.309999999999999</v>
      </c>
      <c r="AG88" s="1">
        <v>99.51</v>
      </c>
      <c r="AH88" s="1">
        <v>93.2</v>
      </c>
      <c r="AI88" s="1">
        <v>69.53</v>
      </c>
      <c r="AJ88" s="1">
        <v>19.38</v>
      </c>
      <c r="AK88" s="3">
        <v>761</v>
      </c>
      <c r="AL88" s="3">
        <v>72</v>
      </c>
      <c r="AM88" s="3">
        <v>833</v>
      </c>
      <c r="AN88" s="3">
        <v>8747</v>
      </c>
      <c r="AO88" s="3">
        <v>1028</v>
      </c>
      <c r="AP88" s="3">
        <v>9775</v>
      </c>
      <c r="AQ88" s="3">
        <v>144910</v>
      </c>
      <c r="AR88" s="3">
        <v>16793</v>
      </c>
      <c r="AS88" s="3">
        <v>161703</v>
      </c>
      <c r="AT88">
        <v>163</v>
      </c>
      <c r="AU88">
        <v>69</v>
      </c>
      <c r="AV88">
        <v>232</v>
      </c>
      <c r="AW88">
        <v>3197</v>
      </c>
      <c r="AX88">
        <v>691</v>
      </c>
      <c r="AY88">
        <v>3888</v>
      </c>
      <c r="AZ88">
        <v>53607</v>
      </c>
      <c r="BA88">
        <v>9605</v>
      </c>
      <c r="BB88">
        <v>63212</v>
      </c>
    </row>
    <row r="89" spans="1:54" x14ac:dyDescent="0.25">
      <c r="A89" s="1" t="s">
        <v>10</v>
      </c>
      <c r="B89" s="1">
        <v>2023</v>
      </c>
      <c r="C89" s="1">
        <v>5.05</v>
      </c>
      <c r="D89" s="1">
        <v>10.69</v>
      </c>
      <c r="E89" s="1">
        <v>5.69</v>
      </c>
      <c r="F89" s="1">
        <v>15.04</v>
      </c>
      <c r="G89" s="1">
        <v>66.33</v>
      </c>
      <c r="H89" s="1">
        <v>93</v>
      </c>
      <c r="I89" s="1">
        <v>75</v>
      </c>
      <c r="J89" s="1">
        <v>3004</v>
      </c>
      <c r="K89" s="1">
        <v>778</v>
      </c>
      <c r="L89" s="1">
        <v>49014</v>
      </c>
      <c r="M89" s="1">
        <v>8261</v>
      </c>
      <c r="N89" s="1">
        <f t="shared" si="16"/>
        <v>168</v>
      </c>
      <c r="O89" s="1">
        <f t="shared" si="17"/>
        <v>3782</v>
      </c>
      <c r="P89" s="1">
        <f t="shared" si="18"/>
        <v>57275</v>
      </c>
      <c r="Q89" s="1">
        <v>36</v>
      </c>
      <c r="R89" s="1">
        <v>68</v>
      </c>
      <c r="S89" s="1">
        <v>1788</v>
      </c>
      <c r="T89" s="1">
        <v>808</v>
      </c>
      <c r="U89" s="1">
        <v>28493</v>
      </c>
      <c r="V89" s="1">
        <v>9491</v>
      </c>
      <c r="W89" s="1">
        <f t="shared" si="19"/>
        <v>104</v>
      </c>
      <c r="X89" s="1">
        <f t="shared" si="20"/>
        <v>2596</v>
      </c>
      <c r="Y89" s="1">
        <f t="shared" si="21"/>
        <v>37984</v>
      </c>
      <c r="Z89" s="1">
        <v>10.51</v>
      </c>
      <c r="AA89" s="1">
        <v>10.38</v>
      </c>
      <c r="AB89" s="1">
        <f t="shared" si="22"/>
        <v>10.445</v>
      </c>
      <c r="AC89" s="1">
        <v>12.93</v>
      </c>
      <c r="AD89" s="1">
        <v>13.3</v>
      </c>
      <c r="AE89" s="1">
        <f t="shared" si="23"/>
        <v>13.115</v>
      </c>
      <c r="AF89" s="1">
        <f t="shared" si="23"/>
        <v>13.2075</v>
      </c>
      <c r="AG89" s="1">
        <v>99.29</v>
      </c>
      <c r="AH89" s="1">
        <v>99.07</v>
      </c>
      <c r="AI89" s="1">
        <v>84.97</v>
      </c>
      <c r="AJ89" s="1">
        <v>22.43</v>
      </c>
      <c r="AK89" s="3">
        <v>683</v>
      </c>
      <c r="AL89" s="3">
        <v>299</v>
      </c>
      <c r="AM89" s="3">
        <v>982</v>
      </c>
      <c r="AN89" s="3">
        <v>9641</v>
      </c>
      <c r="AO89" s="3">
        <v>4791</v>
      </c>
      <c r="AP89" s="3">
        <v>14432</v>
      </c>
      <c r="AQ89" s="3">
        <v>154046</v>
      </c>
      <c r="AR89" s="3">
        <v>73203</v>
      </c>
      <c r="AS89" s="3">
        <v>227249</v>
      </c>
      <c r="AT89">
        <v>236</v>
      </c>
      <c r="AU89">
        <v>179</v>
      </c>
      <c r="AV89">
        <v>415</v>
      </c>
      <c r="AW89">
        <v>4476</v>
      </c>
      <c r="AX89">
        <v>1990</v>
      </c>
      <c r="AY89">
        <v>6466</v>
      </c>
      <c r="AZ89">
        <v>75301</v>
      </c>
      <c r="BA89">
        <v>23918</v>
      </c>
      <c r="BB89">
        <v>99219</v>
      </c>
    </row>
    <row r="90" spans="1:54" x14ac:dyDescent="0.25">
      <c r="A90" s="1" t="s">
        <v>11</v>
      </c>
      <c r="B90" s="1">
        <v>2023</v>
      </c>
      <c r="C90" s="1">
        <v>4.4400000000000004</v>
      </c>
      <c r="D90" s="1">
        <v>4.4400000000000004</v>
      </c>
      <c r="E90" s="1">
        <v>4.4400000000000004</v>
      </c>
      <c r="F90" s="1">
        <v>15.49</v>
      </c>
      <c r="G90" s="1">
        <v>63.77</v>
      </c>
      <c r="H90" s="1">
        <v>117</v>
      </c>
      <c r="I90" s="1">
        <v>379</v>
      </c>
      <c r="J90" s="1">
        <v>5184</v>
      </c>
      <c r="K90" s="1">
        <v>6859</v>
      </c>
      <c r="L90" s="1">
        <v>88181</v>
      </c>
      <c r="M90" s="1">
        <v>103924</v>
      </c>
      <c r="N90" s="1">
        <f t="shared" si="16"/>
        <v>496</v>
      </c>
      <c r="O90" s="1">
        <f t="shared" si="17"/>
        <v>12043</v>
      </c>
      <c r="P90" s="1">
        <f t="shared" si="18"/>
        <v>192105</v>
      </c>
      <c r="Q90" s="1">
        <v>73</v>
      </c>
      <c r="R90" s="1">
        <v>488</v>
      </c>
      <c r="S90" s="1">
        <v>3494</v>
      </c>
      <c r="T90" s="1">
        <v>8255</v>
      </c>
      <c r="U90" s="1">
        <v>57652</v>
      </c>
      <c r="V90" s="1">
        <v>138996</v>
      </c>
      <c r="W90" s="1">
        <f t="shared" si="19"/>
        <v>561</v>
      </c>
      <c r="X90" s="1">
        <f t="shared" si="20"/>
        <v>11749</v>
      </c>
      <c r="Y90" s="1">
        <f t="shared" si="21"/>
        <v>196648</v>
      </c>
      <c r="Z90" s="1">
        <v>11.73</v>
      </c>
      <c r="AA90" s="1">
        <v>11.18</v>
      </c>
      <c r="AB90" s="1">
        <f t="shared" si="22"/>
        <v>11.455</v>
      </c>
      <c r="AC90" s="1">
        <v>13.21</v>
      </c>
      <c r="AD90" s="1">
        <v>13.34</v>
      </c>
      <c r="AE90" s="1">
        <f t="shared" si="23"/>
        <v>13.275</v>
      </c>
      <c r="AF90" s="1">
        <f t="shared" si="23"/>
        <v>13.307500000000001</v>
      </c>
      <c r="AG90" s="1">
        <v>99.49</v>
      </c>
      <c r="AH90" s="1">
        <v>98.17</v>
      </c>
      <c r="AI90" s="1">
        <v>72.5</v>
      </c>
      <c r="AJ90" s="1">
        <v>28.43</v>
      </c>
      <c r="AK90" s="3">
        <v>1305</v>
      </c>
      <c r="AL90" s="3">
        <v>919</v>
      </c>
      <c r="AM90" s="3">
        <v>2224</v>
      </c>
      <c r="AN90" s="3">
        <v>23977</v>
      </c>
      <c r="AO90" s="3">
        <v>15417</v>
      </c>
      <c r="AP90" s="3">
        <v>39394</v>
      </c>
      <c r="AQ90" s="3">
        <v>540938</v>
      </c>
      <c r="AR90" s="3">
        <v>215517</v>
      </c>
      <c r="AS90" s="3">
        <v>756455</v>
      </c>
      <c r="AT90">
        <v>293</v>
      </c>
      <c r="AU90">
        <v>777</v>
      </c>
      <c r="AV90">
        <v>1070</v>
      </c>
      <c r="AW90">
        <v>10622</v>
      </c>
      <c r="AX90">
        <v>9220</v>
      </c>
      <c r="AY90">
        <v>19842</v>
      </c>
      <c r="AZ90">
        <v>212200</v>
      </c>
      <c r="BA90">
        <v>135658</v>
      </c>
      <c r="BB90">
        <v>347858</v>
      </c>
    </row>
    <row r="91" spans="1:54" x14ac:dyDescent="0.25">
      <c r="A91" s="1" t="s">
        <v>12</v>
      </c>
      <c r="B91" s="1">
        <v>2023</v>
      </c>
      <c r="C91" s="1">
        <v>7.19</v>
      </c>
      <c r="D91" s="1">
        <v>9.3000000000000007</v>
      </c>
      <c r="E91" s="1">
        <v>7.62</v>
      </c>
      <c r="F91" s="1">
        <v>25.71</v>
      </c>
      <c r="G91" s="1">
        <v>44.85</v>
      </c>
      <c r="H91" s="1">
        <v>514</v>
      </c>
      <c r="I91" s="1">
        <v>1254</v>
      </c>
      <c r="J91" s="1">
        <v>25780</v>
      </c>
      <c r="K91" s="1">
        <v>17476</v>
      </c>
      <c r="L91" s="1">
        <v>530509</v>
      </c>
      <c r="M91" s="1">
        <v>293262</v>
      </c>
      <c r="N91" s="1">
        <f t="shared" si="16"/>
        <v>1768</v>
      </c>
      <c r="O91" s="1">
        <f t="shared" si="17"/>
        <v>43256</v>
      </c>
      <c r="P91" s="1">
        <f t="shared" si="18"/>
        <v>823771</v>
      </c>
      <c r="Q91" s="1">
        <v>288</v>
      </c>
      <c r="R91" s="1">
        <v>2625</v>
      </c>
      <c r="S91" s="1">
        <v>17738</v>
      </c>
      <c r="T91" s="1">
        <v>40888</v>
      </c>
      <c r="U91" s="1">
        <v>343384</v>
      </c>
      <c r="V91" s="1">
        <v>725091</v>
      </c>
      <c r="W91" s="1">
        <f t="shared" si="19"/>
        <v>2913</v>
      </c>
      <c r="X91" s="1">
        <f t="shared" si="20"/>
        <v>58626</v>
      </c>
      <c r="Y91" s="1">
        <f t="shared" si="21"/>
        <v>1068475</v>
      </c>
      <c r="Z91" s="1">
        <v>9.1199999999999992</v>
      </c>
      <c r="AA91" s="1">
        <v>8.5399999999999991</v>
      </c>
      <c r="AB91" s="1">
        <f t="shared" si="22"/>
        <v>8.8299999999999983</v>
      </c>
      <c r="AC91" s="1">
        <v>12.61</v>
      </c>
      <c r="AD91" s="1">
        <v>12.78</v>
      </c>
      <c r="AE91" s="1">
        <f t="shared" si="23"/>
        <v>12.695</v>
      </c>
      <c r="AF91" s="1">
        <f t="shared" si="23"/>
        <v>12.737500000000001</v>
      </c>
      <c r="AG91" s="1">
        <v>99.4</v>
      </c>
      <c r="AH91" s="1">
        <v>95.75</v>
      </c>
      <c r="AI91" s="1">
        <v>68.58</v>
      </c>
      <c r="AJ91" s="1">
        <v>26.45</v>
      </c>
      <c r="AK91" s="3">
        <v>17104</v>
      </c>
      <c r="AL91" s="3">
        <v>2449</v>
      </c>
      <c r="AM91" s="3">
        <v>19553</v>
      </c>
      <c r="AN91" s="3">
        <v>177301</v>
      </c>
      <c r="AO91" s="3">
        <v>36958</v>
      </c>
      <c r="AP91" s="3">
        <v>214259</v>
      </c>
      <c r="AQ91" s="3">
        <v>3891806</v>
      </c>
      <c r="AR91" s="3">
        <v>595456</v>
      </c>
      <c r="AS91" s="3">
        <v>4487262</v>
      </c>
      <c r="AT91">
        <v>1982</v>
      </c>
      <c r="AU91">
        <v>3963</v>
      </c>
      <c r="AV91">
        <v>5945</v>
      </c>
      <c r="AW91">
        <v>55328</v>
      </c>
      <c r="AX91">
        <v>41874</v>
      </c>
      <c r="AY91">
        <v>97202</v>
      </c>
      <c r="AZ91">
        <v>1140073</v>
      </c>
      <c r="BA91">
        <v>676108</v>
      </c>
      <c r="BB91">
        <v>1816181</v>
      </c>
    </row>
    <row r="92" spans="1:54" x14ac:dyDescent="0.25">
      <c r="A92" s="1" t="s">
        <v>13</v>
      </c>
      <c r="B92" s="1">
        <v>2023</v>
      </c>
      <c r="C92" s="1">
        <v>9.7799999999999994</v>
      </c>
      <c r="D92" s="1">
        <v>11.87</v>
      </c>
      <c r="E92" s="1">
        <v>10.77</v>
      </c>
      <c r="F92" s="1">
        <v>20.99</v>
      </c>
      <c r="G92" s="1">
        <v>39.61</v>
      </c>
      <c r="H92" s="1">
        <v>362</v>
      </c>
      <c r="I92" s="1">
        <v>499</v>
      </c>
      <c r="J92" s="1">
        <v>18389</v>
      </c>
      <c r="K92" s="1">
        <v>7746</v>
      </c>
      <c r="L92" s="1">
        <v>343035</v>
      </c>
      <c r="M92" s="1">
        <v>109919</v>
      </c>
      <c r="N92" s="1">
        <f t="shared" si="16"/>
        <v>861</v>
      </c>
      <c r="O92" s="1">
        <f t="shared" si="17"/>
        <v>26135</v>
      </c>
      <c r="P92" s="1">
        <f t="shared" si="18"/>
        <v>452954</v>
      </c>
      <c r="Q92" s="1">
        <v>239</v>
      </c>
      <c r="R92" s="1">
        <v>1302</v>
      </c>
      <c r="S92" s="1">
        <v>17033</v>
      </c>
      <c r="T92" s="1">
        <v>29059</v>
      </c>
      <c r="U92" s="1">
        <v>300562</v>
      </c>
      <c r="V92" s="1">
        <v>503857</v>
      </c>
      <c r="W92" s="1">
        <f t="shared" si="19"/>
        <v>1541</v>
      </c>
      <c r="X92" s="1">
        <f t="shared" si="20"/>
        <v>46092</v>
      </c>
      <c r="Y92" s="1">
        <f t="shared" si="21"/>
        <v>804419</v>
      </c>
      <c r="Z92" s="1">
        <v>8.42</v>
      </c>
      <c r="AA92" s="1">
        <v>7.62</v>
      </c>
      <c r="AB92" s="1">
        <f t="shared" si="22"/>
        <v>8.02</v>
      </c>
      <c r="AC92" s="1">
        <v>12.76</v>
      </c>
      <c r="AD92" s="1">
        <v>13.03</v>
      </c>
      <c r="AE92" s="1">
        <f t="shared" si="23"/>
        <v>12.895</v>
      </c>
      <c r="AF92" s="1">
        <f t="shared" si="23"/>
        <v>12.962499999999999</v>
      </c>
      <c r="AG92" s="1">
        <v>99.57</v>
      </c>
      <c r="AH92" s="1">
        <v>97.08</v>
      </c>
      <c r="AI92" s="1">
        <v>70.87</v>
      </c>
      <c r="AJ92" s="1">
        <v>26.52</v>
      </c>
      <c r="AK92" s="3">
        <v>17298</v>
      </c>
      <c r="AL92" s="3">
        <v>1320</v>
      </c>
      <c r="AM92" s="3">
        <v>18618</v>
      </c>
      <c r="AN92" s="3">
        <v>152542</v>
      </c>
      <c r="AO92" s="3">
        <v>17330</v>
      </c>
      <c r="AP92" s="3">
        <v>169872</v>
      </c>
      <c r="AQ92" s="3">
        <v>2280299</v>
      </c>
      <c r="AR92" s="3">
        <v>314751</v>
      </c>
      <c r="AS92" s="3">
        <v>2595050</v>
      </c>
      <c r="AT92">
        <v>1772</v>
      </c>
      <c r="AU92">
        <v>1674</v>
      </c>
      <c r="AV92">
        <v>3446</v>
      </c>
      <c r="AW92">
        <v>52093</v>
      </c>
      <c r="AX92">
        <v>18462</v>
      </c>
      <c r="AY92">
        <v>70555</v>
      </c>
      <c r="AZ92">
        <v>926618</v>
      </c>
      <c r="BA92">
        <v>281686</v>
      </c>
      <c r="BB92">
        <v>1208304</v>
      </c>
    </row>
    <row r="93" spans="1:54" x14ac:dyDescent="0.25">
      <c r="A93" s="1" t="s">
        <v>14</v>
      </c>
      <c r="B93" s="1">
        <v>2023</v>
      </c>
      <c r="C93" s="1">
        <v>10.27</v>
      </c>
      <c r="D93" s="1">
        <v>13.36</v>
      </c>
      <c r="E93" s="1">
        <v>11.04</v>
      </c>
      <c r="F93" s="1">
        <v>10.89</v>
      </c>
      <c r="G93" s="1">
        <v>46.22</v>
      </c>
      <c r="H93" s="1">
        <v>69</v>
      </c>
      <c r="I93" s="1">
        <v>104</v>
      </c>
      <c r="J93" s="1">
        <v>2642</v>
      </c>
      <c r="K93" s="1">
        <v>1701</v>
      </c>
      <c r="L93" s="1">
        <v>43387</v>
      </c>
      <c r="M93" s="1">
        <v>17744</v>
      </c>
      <c r="N93" s="1">
        <f t="shared" si="16"/>
        <v>173</v>
      </c>
      <c r="O93" s="1">
        <f t="shared" si="17"/>
        <v>4343</v>
      </c>
      <c r="P93" s="1">
        <f t="shared" si="18"/>
        <v>61131</v>
      </c>
      <c r="Q93" s="1">
        <v>50</v>
      </c>
      <c r="R93" s="1">
        <v>156</v>
      </c>
      <c r="S93" s="1">
        <v>3161</v>
      </c>
      <c r="T93" s="1">
        <v>3281</v>
      </c>
      <c r="U93" s="1">
        <v>51489</v>
      </c>
      <c r="V93" s="1">
        <v>37353</v>
      </c>
      <c r="W93" s="1">
        <f t="shared" si="19"/>
        <v>206</v>
      </c>
      <c r="X93" s="1">
        <f t="shared" si="20"/>
        <v>6442</v>
      </c>
      <c r="Y93" s="1">
        <f t="shared" si="21"/>
        <v>88842</v>
      </c>
      <c r="Z93" s="1">
        <v>10.16</v>
      </c>
      <c r="AA93" s="1">
        <v>9.51</v>
      </c>
      <c r="AB93" s="1">
        <f t="shared" si="22"/>
        <v>9.8350000000000009</v>
      </c>
      <c r="AC93" s="1">
        <v>15.71</v>
      </c>
      <c r="AD93" s="1">
        <v>15.66</v>
      </c>
      <c r="AE93" s="1">
        <f t="shared" si="23"/>
        <v>15.685</v>
      </c>
      <c r="AF93" s="1">
        <f t="shared" si="23"/>
        <v>15.672499999999999</v>
      </c>
      <c r="AG93" s="1">
        <v>99.63</v>
      </c>
      <c r="AH93" s="1">
        <v>98.88</v>
      </c>
      <c r="AI93" s="1">
        <v>91.17</v>
      </c>
      <c r="AJ93" s="1">
        <v>55.8</v>
      </c>
      <c r="AK93" s="3">
        <v>1422</v>
      </c>
      <c r="AL93" s="3">
        <v>424</v>
      </c>
      <c r="AM93" s="3">
        <v>1846</v>
      </c>
      <c r="AN93" s="3">
        <v>14530</v>
      </c>
      <c r="AO93" s="3">
        <v>5567</v>
      </c>
      <c r="AP93" s="3">
        <v>20097</v>
      </c>
      <c r="AQ93" s="3">
        <v>186752</v>
      </c>
      <c r="AR93" s="3">
        <v>83858</v>
      </c>
      <c r="AS93" s="3">
        <v>270610</v>
      </c>
      <c r="AT93">
        <v>214</v>
      </c>
      <c r="AU93">
        <v>240</v>
      </c>
      <c r="AV93">
        <v>454</v>
      </c>
      <c r="AW93">
        <v>5570</v>
      </c>
      <c r="AX93">
        <v>3287</v>
      </c>
      <c r="AY93">
        <v>8857</v>
      </c>
      <c r="AZ93">
        <v>92471</v>
      </c>
      <c r="BA93">
        <v>40084</v>
      </c>
      <c r="BB93">
        <v>132555</v>
      </c>
    </row>
    <row r="94" spans="1:54" x14ac:dyDescent="0.25">
      <c r="A94" s="1" t="s">
        <v>15</v>
      </c>
      <c r="B94" s="1">
        <v>2023</v>
      </c>
      <c r="C94" s="1">
        <v>7.5</v>
      </c>
      <c r="D94" s="1">
        <v>13.98</v>
      </c>
      <c r="E94" s="1">
        <v>10.35</v>
      </c>
      <c r="F94" s="1">
        <v>19.53</v>
      </c>
      <c r="G94" s="1">
        <v>36.89</v>
      </c>
      <c r="H94" s="1">
        <v>423</v>
      </c>
      <c r="I94" s="1">
        <v>1094</v>
      </c>
      <c r="J94" s="1">
        <v>19970</v>
      </c>
      <c r="K94" s="1">
        <v>14841</v>
      </c>
      <c r="L94" s="1">
        <v>351429</v>
      </c>
      <c r="M94" s="1">
        <v>197252</v>
      </c>
      <c r="N94" s="1">
        <f t="shared" si="16"/>
        <v>1517</v>
      </c>
      <c r="O94" s="1">
        <f t="shared" si="17"/>
        <v>34811</v>
      </c>
      <c r="P94" s="1">
        <f t="shared" si="18"/>
        <v>548681</v>
      </c>
      <c r="Q94" s="1">
        <v>297</v>
      </c>
      <c r="R94" s="1">
        <v>1850</v>
      </c>
      <c r="S94" s="1">
        <v>20154</v>
      </c>
      <c r="T94" s="1">
        <v>29605</v>
      </c>
      <c r="U94" s="1">
        <v>346931</v>
      </c>
      <c r="V94" s="1">
        <v>427637</v>
      </c>
      <c r="W94" s="1">
        <f t="shared" si="19"/>
        <v>2147</v>
      </c>
      <c r="X94" s="1">
        <f t="shared" si="20"/>
        <v>49759</v>
      </c>
      <c r="Y94" s="1">
        <f t="shared" si="21"/>
        <v>774568</v>
      </c>
      <c r="Z94" s="1">
        <v>8.52</v>
      </c>
      <c r="AA94" s="1">
        <v>7.71</v>
      </c>
      <c r="AB94" s="1">
        <f t="shared" si="22"/>
        <v>8.1150000000000002</v>
      </c>
      <c r="AC94" s="1">
        <v>13.28</v>
      </c>
      <c r="AD94" s="1">
        <v>13.6</v>
      </c>
      <c r="AE94" s="1">
        <f t="shared" si="23"/>
        <v>13.44</v>
      </c>
      <c r="AF94" s="1">
        <f t="shared" si="23"/>
        <v>13.52</v>
      </c>
      <c r="AG94" s="1">
        <v>99.28</v>
      </c>
      <c r="AH94" s="1">
        <v>97.64</v>
      </c>
      <c r="AI94" s="1">
        <v>74.069999999999993</v>
      </c>
      <c r="AJ94" s="1">
        <v>28.59</v>
      </c>
      <c r="AK94" s="3">
        <v>16902</v>
      </c>
      <c r="AL94" s="3">
        <v>2078</v>
      </c>
      <c r="AM94" s="3">
        <v>18980</v>
      </c>
      <c r="AN94" s="3">
        <v>158554</v>
      </c>
      <c r="AO94" s="3">
        <v>24861</v>
      </c>
      <c r="AP94" s="3">
        <v>183415</v>
      </c>
      <c r="AQ94" s="3">
        <v>2130520</v>
      </c>
      <c r="AR94" s="3">
        <v>400329</v>
      </c>
      <c r="AS94" s="3">
        <v>2530849</v>
      </c>
      <c r="AT94">
        <v>1737</v>
      </c>
      <c r="AU94">
        <v>3259</v>
      </c>
      <c r="AV94">
        <v>4996</v>
      </c>
      <c r="AW94">
        <v>48692</v>
      </c>
      <c r="AX94">
        <v>31692</v>
      </c>
      <c r="AY94">
        <v>80384</v>
      </c>
      <c r="AZ94">
        <v>811528</v>
      </c>
      <c r="BA94">
        <v>418894</v>
      </c>
      <c r="BB94">
        <v>1230422</v>
      </c>
    </row>
    <row r="95" spans="1:54" x14ac:dyDescent="0.25">
      <c r="A95" s="1" t="s">
        <v>16</v>
      </c>
      <c r="B95" s="1">
        <v>2023</v>
      </c>
      <c r="C95" s="1">
        <v>6</v>
      </c>
      <c r="D95" s="1">
        <v>6.79</v>
      </c>
      <c r="E95" s="1">
        <v>6.17</v>
      </c>
      <c r="F95" s="1">
        <v>28.8</v>
      </c>
      <c r="G95" s="1">
        <v>53.69</v>
      </c>
      <c r="H95" s="1">
        <v>161</v>
      </c>
      <c r="I95" s="1">
        <v>446</v>
      </c>
      <c r="J95" s="1">
        <v>6630</v>
      </c>
      <c r="K95" s="1">
        <v>6107</v>
      </c>
      <c r="L95" s="1">
        <v>144431</v>
      </c>
      <c r="M95" s="1">
        <v>80877</v>
      </c>
      <c r="N95" s="1">
        <f t="shared" si="16"/>
        <v>607</v>
      </c>
      <c r="O95" s="1">
        <f t="shared" si="17"/>
        <v>12737</v>
      </c>
      <c r="P95" s="1">
        <f t="shared" si="18"/>
        <v>225308</v>
      </c>
      <c r="Q95" s="1">
        <v>91</v>
      </c>
      <c r="R95" s="1">
        <v>633</v>
      </c>
      <c r="S95" s="1">
        <v>4435</v>
      </c>
      <c r="T95" s="1">
        <v>9575</v>
      </c>
      <c r="U95" s="1">
        <v>91430</v>
      </c>
      <c r="V95" s="1">
        <v>159985</v>
      </c>
      <c r="W95" s="1">
        <f t="shared" si="19"/>
        <v>724</v>
      </c>
      <c r="X95" s="1">
        <f t="shared" si="20"/>
        <v>14010</v>
      </c>
      <c r="Y95" s="1">
        <f t="shared" si="21"/>
        <v>251415</v>
      </c>
      <c r="Z95" s="1">
        <v>9.49</v>
      </c>
      <c r="AA95" s="1">
        <v>8.85</v>
      </c>
      <c r="AB95" s="1">
        <f t="shared" si="22"/>
        <v>9.17</v>
      </c>
      <c r="AC95" s="1">
        <v>12.93</v>
      </c>
      <c r="AD95" s="1">
        <v>13.27</v>
      </c>
      <c r="AE95" s="1">
        <f t="shared" si="23"/>
        <v>13.1</v>
      </c>
      <c r="AF95" s="1">
        <f t="shared" si="23"/>
        <v>13.184999999999999</v>
      </c>
      <c r="AG95" s="1">
        <v>99.43</v>
      </c>
      <c r="AH95" s="1">
        <v>96.65</v>
      </c>
      <c r="AI95" s="1">
        <v>69.64</v>
      </c>
      <c r="AJ95" s="1">
        <v>24.85</v>
      </c>
      <c r="AK95" s="3">
        <v>3853</v>
      </c>
      <c r="AL95" s="3">
        <v>757</v>
      </c>
      <c r="AM95" s="3">
        <v>4610</v>
      </c>
      <c r="AN95" s="3">
        <v>46259</v>
      </c>
      <c r="AO95" s="3">
        <v>12100</v>
      </c>
      <c r="AP95" s="3">
        <v>58359</v>
      </c>
      <c r="AQ95" s="3">
        <v>1009060</v>
      </c>
      <c r="AR95" s="3">
        <v>194372</v>
      </c>
      <c r="AS95" s="3">
        <v>1203432</v>
      </c>
      <c r="AT95">
        <v>573</v>
      </c>
      <c r="AU95">
        <v>1029</v>
      </c>
      <c r="AV95">
        <v>1602</v>
      </c>
      <c r="AW95">
        <v>14256</v>
      </c>
      <c r="AX95">
        <v>10090</v>
      </c>
      <c r="AY95">
        <v>24346</v>
      </c>
      <c r="AZ95">
        <v>277317</v>
      </c>
      <c r="BA95">
        <v>164556</v>
      </c>
      <c r="BB95">
        <v>441873</v>
      </c>
    </row>
    <row r="96" spans="1:54" x14ac:dyDescent="0.25">
      <c r="A96" s="1" t="s">
        <v>17</v>
      </c>
      <c r="B96" s="1">
        <v>2023</v>
      </c>
      <c r="C96" s="1">
        <v>3.77</v>
      </c>
      <c r="D96" s="1">
        <v>5.5</v>
      </c>
      <c r="E96" s="1">
        <v>4.25</v>
      </c>
      <c r="F96" s="1">
        <v>10.029999999999999</v>
      </c>
      <c r="G96" s="1">
        <v>47.65</v>
      </c>
      <c r="H96" s="1">
        <v>90</v>
      </c>
      <c r="I96" s="1">
        <v>73</v>
      </c>
      <c r="J96" s="1">
        <v>4759</v>
      </c>
      <c r="K96" s="1">
        <v>1095</v>
      </c>
      <c r="L96" s="1">
        <v>81893</v>
      </c>
      <c r="M96" s="1">
        <v>13792</v>
      </c>
      <c r="N96" s="1">
        <f t="shared" si="16"/>
        <v>163</v>
      </c>
      <c r="O96" s="1">
        <f t="shared" si="17"/>
        <v>5854</v>
      </c>
      <c r="P96" s="1">
        <f t="shared" si="18"/>
        <v>95685</v>
      </c>
      <c r="Q96" s="1">
        <v>57</v>
      </c>
      <c r="R96" s="1">
        <v>113</v>
      </c>
      <c r="S96" s="1">
        <v>3555</v>
      </c>
      <c r="T96" s="1">
        <v>2172</v>
      </c>
      <c r="U96" s="1">
        <v>54131</v>
      </c>
      <c r="V96" s="1">
        <v>34998</v>
      </c>
      <c r="W96" s="1">
        <f t="shared" si="19"/>
        <v>170</v>
      </c>
      <c r="X96" s="1">
        <f t="shared" si="20"/>
        <v>5727</v>
      </c>
      <c r="Y96" s="1">
        <f t="shared" si="21"/>
        <v>89129</v>
      </c>
      <c r="Z96" s="1">
        <v>10.039999999999999</v>
      </c>
      <c r="AA96" s="1">
        <v>8.8000000000000007</v>
      </c>
      <c r="AB96" s="1">
        <f t="shared" si="22"/>
        <v>9.42</v>
      </c>
      <c r="AC96" s="1">
        <v>13.56</v>
      </c>
      <c r="AD96" s="1">
        <v>13.61</v>
      </c>
      <c r="AE96" s="1">
        <f t="shared" si="23"/>
        <v>13.585000000000001</v>
      </c>
      <c r="AF96" s="1">
        <f t="shared" si="23"/>
        <v>13.5975</v>
      </c>
      <c r="AG96" s="1">
        <v>99.61</v>
      </c>
      <c r="AH96" s="1">
        <v>97.95</v>
      </c>
      <c r="AI96" s="1">
        <v>84.73</v>
      </c>
      <c r="AJ96" s="1">
        <v>34.31</v>
      </c>
      <c r="AK96" s="3">
        <v>2254</v>
      </c>
      <c r="AL96" s="3">
        <v>155</v>
      </c>
      <c r="AM96" s="3">
        <v>2409</v>
      </c>
      <c r="AN96" s="3">
        <v>22807</v>
      </c>
      <c r="AO96" s="3">
        <v>2636</v>
      </c>
      <c r="AP96" s="3">
        <v>25443</v>
      </c>
      <c r="AQ96" s="3">
        <v>342112</v>
      </c>
      <c r="AR96" s="3">
        <v>41504</v>
      </c>
      <c r="AS96" s="3">
        <v>383616</v>
      </c>
      <c r="AT96">
        <v>277</v>
      </c>
      <c r="AU96">
        <v>127</v>
      </c>
      <c r="AV96">
        <v>404</v>
      </c>
      <c r="AW96">
        <v>9389</v>
      </c>
      <c r="AX96">
        <v>1759</v>
      </c>
      <c r="AY96">
        <v>11148</v>
      </c>
      <c r="AZ96">
        <v>159809</v>
      </c>
      <c r="BA96">
        <v>26194</v>
      </c>
      <c r="BB96">
        <v>186003</v>
      </c>
    </row>
    <row r="97" spans="1:54" x14ac:dyDescent="0.25">
      <c r="A97" s="1" t="s">
        <v>18</v>
      </c>
      <c r="B97" s="1">
        <v>2023</v>
      </c>
      <c r="C97" s="1">
        <v>13.76</v>
      </c>
      <c r="D97" s="1">
        <v>13.95</v>
      </c>
      <c r="E97" s="1">
        <v>13.85</v>
      </c>
      <c r="F97" s="1">
        <v>20.45</v>
      </c>
      <c r="G97" s="1">
        <v>27.7</v>
      </c>
      <c r="H97" s="1">
        <v>150</v>
      </c>
      <c r="I97" s="1">
        <v>215</v>
      </c>
      <c r="J97" s="1">
        <v>7551</v>
      </c>
      <c r="K97" s="1">
        <v>2183</v>
      </c>
      <c r="L97" s="1">
        <v>96571</v>
      </c>
      <c r="M97" s="1">
        <v>20349</v>
      </c>
      <c r="N97" s="1">
        <f t="shared" si="16"/>
        <v>365</v>
      </c>
      <c r="O97" s="1">
        <f t="shared" si="17"/>
        <v>9734</v>
      </c>
      <c r="P97" s="1">
        <f t="shared" si="18"/>
        <v>116920</v>
      </c>
      <c r="Q97" s="1">
        <v>99</v>
      </c>
      <c r="R97" s="1">
        <v>230</v>
      </c>
      <c r="S97" s="1">
        <v>5304</v>
      </c>
      <c r="T97" s="1">
        <v>2528</v>
      </c>
      <c r="U97" s="1">
        <v>54577</v>
      </c>
      <c r="V97" s="1">
        <v>23135</v>
      </c>
      <c r="W97" s="1">
        <f t="shared" si="19"/>
        <v>329</v>
      </c>
      <c r="X97" s="1">
        <f t="shared" si="20"/>
        <v>7832</v>
      </c>
      <c r="Y97" s="1">
        <f t="shared" si="21"/>
        <v>77712</v>
      </c>
      <c r="Z97" s="1">
        <v>8.25</v>
      </c>
      <c r="AA97" s="1">
        <v>7.15</v>
      </c>
      <c r="AB97" s="1">
        <f t="shared" si="22"/>
        <v>7.7</v>
      </c>
      <c r="AC97" s="1">
        <v>14.1</v>
      </c>
      <c r="AD97" s="1">
        <v>13.96</v>
      </c>
      <c r="AE97" s="1">
        <f t="shared" si="23"/>
        <v>14.030000000000001</v>
      </c>
      <c r="AF97" s="1">
        <f t="shared" si="23"/>
        <v>13.995000000000001</v>
      </c>
      <c r="AG97" s="1">
        <v>99.46</v>
      </c>
      <c r="AH97" s="1">
        <v>97.95</v>
      </c>
      <c r="AI97" s="1">
        <v>77.459999999999994</v>
      </c>
      <c r="AJ97" s="1">
        <v>28.45</v>
      </c>
      <c r="AK97" s="3">
        <v>3008</v>
      </c>
      <c r="AL97" s="3">
        <v>322</v>
      </c>
      <c r="AM97" s="3">
        <v>3330</v>
      </c>
      <c r="AN97" s="3">
        <v>40903</v>
      </c>
      <c r="AO97" s="3">
        <v>3030</v>
      </c>
      <c r="AP97" s="3">
        <v>43933</v>
      </c>
      <c r="AQ97" s="3">
        <v>472151</v>
      </c>
      <c r="AR97" s="3">
        <v>40469</v>
      </c>
      <c r="AS97" s="3">
        <v>512620</v>
      </c>
      <c r="AT97">
        <v>604</v>
      </c>
      <c r="AU97">
        <v>459</v>
      </c>
      <c r="AV97">
        <v>1063</v>
      </c>
      <c r="AW97">
        <v>17543</v>
      </c>
      <c r="AX97">
        <v>4333</v>
      </c>
      <c r="AY97">
        <v>21876</v>
      </c>
      <c r="AZ97">
        <v>133977</v>
      </c>
      <c r="BA97">
        <v>39980</v>
      </c>
      <c r="BB97">
        <v>173957</v>
      </c>
    </row>
    <row r="98" spans="1:54" x14ac:dyDescent="0.25">
      <c r="A98" s="1" t="s">
        <v>19</v>
      </c>
      <c r="B98" s="1">
        <v>2023</v>
      </c>
      <c r="C98" s="1">
        <v>9.1199999999999992</v>
      </c>
      <c r="D98" s="1">
        <v>23.76</v>
      </c>
      <c r="E98" s="1">
        <v>19.96</v>
      </c>
      <c r="F98" s="1">
        <v>18.13</v>
      </c>
      <c r="G98" s="1">
        <v>25.49</v>
      </c>
      <c r="H98" s="1">
        <v>393</v>
      </c>
      <c r="I98" s="1">
        <v>218</v>
      </c>
      <c r="J98" s="1">
        <v>12626</v>
      </c>
      <c r="K98" s="1">
        <v>4667</v>
      </c>
      <c r="L98" s="1">
        <v>145341</v>
      </c>
      <c r="M98" s="1">
        <v>61698</v>
      </c>
      <c r="N98" s="1">
        <f t="shared" ref="N98:N129" si="24">H98+I98</f>
        <v>611</v>
      </c>
      <c r="O98" s="1">
        <f t="shared" ref="O98:O129" si="25">J98+K98</f>
        <v>17293</v>
      </c>
      <c r="P98" s="1">
        <f t="shared" ref="P98:P129" si="26">L98+M98</f>
        <v>207039</v>
      </c>
      <c r="Q98" s="1">
        <v>174</v>
      </c>
      <c r="R98" s="1">
        <v>169</v>
      </c>
      <c r="S98" s="1">
        <v>6185</v>
      </c>
      <c r="T98" s="1">
        <v>3244</v>
      </c>
      <c r="U98" s="1">
        <v>60670</v>
      </c>
      <c r="V98" s="1">
        <v>43204</v>
      </c>
      <c r="W98" s="1">
        <f t="shared" ref="W98:W129" si="27">Q98+R98</f>
        <v>343</v>
      </c>
      <c r="X98" s="1">
        <f t="shared" ref="X98:X129" si="28">S98+T98</f>
        <v>9429</v>
      </c>
      <c r="Y98" s="1">
        <f t="shared" ref="Y98:Y129" si="29">U98+V98</f>
        <v>103874</v>
      </c>
      <c r="Z98" s="1">
        <v>8.14</v>
      </c>
      <c r="AA98" s="1">
        <v>7.64</v>
      </c>
      <c r="AB98" s="1">
        <f t="shared" si="22"/>
        <v>7.8900000000000006</v>
      </c>
      <c r="AC98" s="1">
        <v>13.12</v>
      </c>
      <c r="AD98" s="1">
        <v>13.54</v>
      </c>
      <c r="AE98" s="1">
        <f t="shared" si="23"/>
        <v>13.329999999999998</v>
      </c>
      <c r="AF98" s="1">
        <f t="shared" si="23"/>
        <v>13.434999999999999</v>
      </c>
      <c r="AG98" s="1">
        <v>98.62</v>
      </c>
      <c r="AH98" s="1">
        <v>94.89</v>
      </c>
      <c r="AI98" s="1">
        <v>75.930000000000007</v>
      </c>
      <c r="AJ98" s="1">
        <v>33.03</v>
      </c>
      <c r="AK98" s="3">
        <v>3396</v>
      </c>
      <c r="AL98" s="3">
        <v>1829</v>
      </c>
      <c r="AM98" s="3">
        <v>5225</v>
      </c>
      <c r="AN98" s="3">
        <v>38295</v>
      </c>
      <c r="AO98" s="3">
        <v>17082</v>
      </c>
      <c r="AP98" s="3">
        <v>55377</v>
      </c>
      <c r="AQ98" s="3">
        <v>414756</v>
      </c>
      <c r="AR98" s="3">
        <v>248551</v>
      </c>
      <c r="AS98" s="3">
        <v>663307</v>
      </c>
      <c r="AT98">
        <v>1380</v>
      </c>
      <c r="AU98">
        <v>453</v>
      </c>
      <c r="AV98">
        <v>1833</v>
      </c>
      <c r="AW98">
        <v>25281</v>
      </c>
      <c r="AX98">
        <v>5884</v>
      </c>
      <c r="AY98">
        <v>31165</v>
      </c>
      <c r="AZ98">
        <v>241833</v>
      </c>
      <c r="BA98">
        <v>74983</v>
      </c>
      <c r="BB98">
        <v>316816</v>
      </c>
    </row>
    <row r="99" spans="1:54" x14ac:dyDescent="0.25">
      <c r="A99" s="1" t="s">
        <v>20</v>
      </c>
      <c r="B99" s="1">
        <v>2023</v>
      </c>
      <c r="C99" s="1">
        <v>4.4400000000000004</v>
      </c>
      <c r="D99" s="1">
        <v>8.07</v>
      </c>
      <c r="E99" s="1">
        <v>6.71</v>
      </c>
      <c r="F99" s="1">
        <v>23.55</v>
      </c>
      <c r="G99" s="1">
        <v>40.31</v>
      </c>
      <c r="H99" s="1">
        <v>285</v>
      </c>
      <c r="I99" s="1">
        <v>187</v>
      </c>
      <c r="J99" s="1">
        <v>6590</v>
      </c>
      <c r="K99" s="1">
        <v>2011</v>
      </c>
      <c r="L99" s="1">
        <v>102734</v>
      </c>
      <c r="M99" s="1">
        <v>29833</v>
      </c>
      <c r="N99" s="1">
        <f t="shared" si="24"/>
        <v>472</v>
      </c>
      <c r="O99" s="1">
        <f t="shared" si="25"/>
        <v>8601</v>
      </c>
      <c r="P99" s="1">
        <f t="shared" si="26"/>
        <v>132567</v>
      </c>
      <c r="Q99" s="1">
        <v>117</v>
      </c>
      <c r="R99" s="1">
        <v>116</v>
      </c>
      <c r="S99" s="1">
        <v>3473</v>
      </c>
      <c r="T99" s="1">
        <v>1273</v>
      </c>
      <c r="U99" s="1">
        <v>56973</v>
      </c>
      <c r="V99" s="1">
        <v>18768</v>
      </c>
      <c r="W99" s="1">
        <f t="shared" si="27"/>
        <v>233</v>
      </c>
      <c r="X99" s="1">
        <f t="shared" si="28"/>
        <v>4746</v>
      </c>
      <c r="Y99" s="1">
        <f t="shared" si="29"/>
        <v>75741</v>
      </c>
      <c r="Z99" s="1">
        <v>7.99</v>
      </c>
      <c r="AA99" s="1">
        <v>7.35</v>
      </c>
      <c r="AB99" s="1">
        <f t="shared" si="22"/>
        <v>7.67</v>
      </c>
      <c r="AC99" s="1">
        <v>12.64</v>
      </c>
      <c r="AD99" s="1">
        <v>13</v>
      </c>
      <c r="AE99" s="1">
        <f t="shared" si="23"/>
        <v>12.82</v>
      </c>
      <c r="AF99" s="1">
        <f t="shared" si="23"/>
        <v>12.91</v>
      </c>
      <c r="AG99" s="1">
        <v>98.81</v>
      </c>
      <c r="AH99" s="1">
        <v>92.92</v>
      </c>
      <c r="AI99" s="1">
        <v>69.25</v>
      </c>
      <c r="AJ99" s="1">
        <v>27.42</v>
      </c>
      <c r="AK99" s="3">
        <v>4140</v>
      </c>
      <c r="AL99" s="3">
        <v>307</v>
      </c>
      <c r="AM99" s="3">
        <v>4447</v>
      </c>
      <c r="AN99" s="3">
        <v>36576</v>
      </c>
      <c r="AO99" s="3">
        <v>3539</v>
      </c>
      <c r="AP99" s="3">
        <v>40115</v>
      </c>
      <c r="AQ99" s="3">
        <v>499855</v>
      </c>
      <c r="AR99" s="3">
        <v>63323</v>
      </c>
      <c r="AS99" s="3">
        <v>563178</v>
      </c>
      <c r="AT99">
        <v>1030</v>
      </c>
      <c r="AU99">
        <v>347</v>
      </c>
      <c r="AV99">
        <v>1377</v>
      </c>
      <c r="AW99">
        <v>14154</v>
      </c>
      <c r="AX99">
        <v>2773</v>
      </c>
      <c r="AY99">
        <v>16927</v>
      </c>
      <c r="AZ99">
        <v>186019</v>
      </c>
      <c r="BA99">
        <v>43911</v>
      </c>
      <c r="BB99">
        <v>229930</v>
      </c>
    </row>
    <row r="100" spans="1:54" x14ac:dyDescent="0.25">
      <c r="A100" s="1" t="s">
        <v>21</v>
      </c>
      <c r="B100" s="1">
        <v>2023</v>
      </c>
      <c r="C100" s="1">
        <v>4.78</v>
      </c>
      <c r="D100" s="1">
        <v>5.35</v>
      </c>
      <c r="E100" s="1">
        <v>5.1100000000000003</v>
      </c>
      <c r="F100" s="1">
        <v>23.68</v>
      </c>
      <c r="G100" s="1">
        <v>48.14</v>
      </c>
      <c r="H100" s="1">
        <v>181</v>
      </c>
      <c r="I100" s="1">
        <v>64</v>
      </c>
      <c r="J100" s="1">
        <v>4462</v>
      </c>
      <c r="K100" s="1">
        <v>686</v>
      </c>
      <c r="L100" s="1">
        <v>56103</v>
      </c>
      <c r="M100" s="1">
        <v>6568</v>
      </c>
      <c r="N100" s="1">
        <f t="shared" si="24"/>
        <v>245</v>
      </c>
      <c r="O100" s="1">
        <f t="shared" si="25"/>
        <v>5148</v>
      </c>
      <c r="P100" s="1">
        <f t="shared" si="26"/>
        <v>62671</v>
      </c>
      <c r="Q100" s="1">
        <v>94</v>
      </c>
      <c r="R100" s="1">
        <v>45</v>
      </c>
      <c r="S100" s="1">
        <v>2538</v>
      </c>
      <c r="T100" s="1">
        <v>624</v>
      </c>
      <c r="U100" s="1">
        <v>27041</v>
      </c>
      <c r="V100" s="1">
        <v>6125</v>
      </c>
      <c r="W100" s="1">
        <f t="shared" si="27"/>
        <v>139</v>
      </c>
      <c r="X100" s="1">
        <f t="shared" si="28"/>
        <v>3162</v>
      </c>
      <c r="Y100" s="1">
        <f t="shared" si="29"/>
        <v>33166</v>
      </c>
      <c r="Z100" s="1">
        <v>8.98</v>
      </c>
      <c r="AA100" s="1">
        <v>8.5500000000000007</v>
      </c>
      <c r="AB100" s="1">
        <f t="shared" si="22"/>
        <v>8.7650000000000006</v>
      </c>
      <c r="AC100" s="1">
        <v>12.87</v>
      </c>
      <c r="AD100" s="1">
        <v>12.75</v>
      </c>
      <c r="AE100" s="1">
        <f t="shared" si="23"/>
        <v>12.809999999999999</v>
      </c>
      <c r="AF100" s="1">
        <f t="shared" si="23"/>
        <v>12.78</v>
      </c>
      <c r="AG100" s="1">
        <v>99.13</v>
      </c>
      <c r="AH100" s="1">
        <v>95.21</v>
      </c>
      <c r="AI100" s="1">
        <v>66.319999999999993</v>
      </c>
      <c r="AJ100" s="1">
        <v>25.49</v>
      </c>
      <c r="AK100" s="3">
        <v>2414</v>
      </c>
      <c r="AL100" s="3">
        <v>236</v>
      </c>
      <c r="AM100" s="3">
        <v>2650</v>
      </c>
      <c r="AN100" s="3">
        <v>23254</v>
      </c>
      <c r="AO100" s="3">
        <v>2631</v>
      </c>
      <c r="AP100" s="3">
        <v>25885</v>
      </c>
      <c r="AQ100" s="3">
        <v>232325</v>
      </c>
      <c r="AR100" s="3">
        <v>44096</v>
      </c>
      <c r="AS100" s="3">
        <v>276421</v>
      </c>
      <c r="AT100">
        <v>714</v>
      </c>
      <c r="AU100">
        <v>153</v>
      </c>
      <c r="AV100">
        <v>867</v>
      </c>
      <c r="AW100">
        <v>8968</v>
      </c>
      <c r="AX100">
        <v>1414</v>
      </c>
      <c r="AY100">
        <v>10382</v>
      </c>
      <c r="AZ100">
        <v>86866</v>
      </c>
      <c r="BA100">
        <v>18636</v>
      </c>
      <c r="BB100">
        <v>105502</v>
      </c>
    </row>
    <row r="101" spans="1:54" x14ac:dyDescent="0.25">
      <c r="A101" s="1" t="s">
        <v>22</v>
      </c>
      <c r="B101" s="1">
        <v>2023</v>
      </c>
      <c r="C101" s="1">
        <v>3.84</v>
      </c>
      <c r="D101" s="1">
        <v>4.72</v>
      </c>
      <c r="E101" s="1">
        <v>4.29</v>
      </c>
      <c r="F101" s="1">
        <v>21.17</v>
      </c>
      <c r="G101" s="1">
        <v>44.75</v>
      </c>
      <c r="H101" s="1">
        <v>142</v>
      </c>
      <c r="I101" s="1">
        <v>65</v>
      </c>
      <c r="J101" s="1">
        <v>4296</v>
      </c>
      <c r="K101" s="1">
        <v>740</v>
      </c>
      <c r="L101" s="1">
        <v>60883</v>
      </c>
      <c r="M101" s="1">
        <v>7281</v>
      </c>
      <c r="N101" s="1">
        <f t="shared" si="24"/>
        <v>207</v>
      </c>
      <c r="O101" s="1">
        <f t="shared" si="25"/>
        <v>5036</v>
      </c>
      <c r="P101" s="1">
        <f t="shared" si="26"/>
        <v>68164</v>
      </c>
      <c r="Q101" s="1">
        <v>64</v>
      </c>
      <c r="R101" s="1">
        <v>64</v>
      </c>
      <c r="S101" s="1">
        <v>3026</v>
      </c>
      <c r="T101" s="1">
        <v>1102</v>
      </c>
      <c r="U101" s="1">
        <v>42920</v>
      </c>
      <c r="V101" s="1">
        <v>12518</v>
      </c>
      <c r="W101" s="1">
        <f t="shared" si="27"/>
        <v>128</v>
      </c>
      <c r="X101" s="1">
        <f t="shared" si="28"/>
        <v>4128</v>
      </c>
      <c r="Y101" s="1">
        <f t="shared" si="29"/>
        <v>55438</v>
      </c>
      <c r="Z101" s="1">
        <v>8.91</v>
      </c>
      <c r="AA101" s="1">
        <v>8.19</v>
      </c>
      <c r="AB101" s="1">
        <f t="shared" si="22"/>
        <v>8.5500000000000007</v>
      </c>
      <c r="AC101" s="1">
        <v>12.8</v>
      </c>
      <c r="AD101" s="1">
        <v>13.01</v>
      </c>
      <c r="AE101" s="1">
        <f t="shared" si="23"/>
        <v>12.905000000000001</v>
      </c>
      <c r="AF101" s="1">
        <f t="shared" si="23"/>
        <v>12.9575</v>
      </c>
      <c r="AG101" s="1">
        <v>99.3</v>
      </c>
      <c r="AH101" s="1">
        <v>94.12</v>
      </c>
      <c r="AI101" s="1">
        <v>69.95</v>
      </c>
      <c r="AJ101" s="1">
        <v>29.09</v>
      </c>
      <c r="AK101" s="3">
        <v>2738</v>
      </c>
      <c r="AL101" s="3">
        <v>182</v>
      </c>
      <c r="AM101" s="3">
        <v>2920</v>
      </c>
      <c r="AN101" s="3">
        <v>27695</v>
      </c>
      <c r="AO101" s="3">
        <v>2444</v>
      </c>
      <c r="AP101" s="3">
        <v>30139</v>
      </c>
      <c r="AQ101" s="3">
        <v>318461</v>
      </c>
      <c r="AR101" s="3">
        <v>34713</v>
      </c>
      <c r="AS101" s="3">
        <v>353174</v>
      </c>
      <c r="AT101">
        <v>522</v>
      </c>
      <c r="AU101">
        <v>105</v>
      </c>
      <c r="AV101">
        <v>627</v>
      </c>
      <c r="AW101">
        <v>8333</v>
      </c>
      <c r="AX101">
        <v>1167</v>
      </c>
      <c r="AY101">
        <v>9500</v>
      </c>
      <c r="AZ101">
        <v>98906</v>
      </c>
      <c r="BA101">
        <v>13883</v>
      </c>
      <c r="BB101">
        <v>112789</v>
      </c>
    </row>
    <row r="102" spans="1:54" x14ac:dyDescent="0.25">
      <c r="A102" s="1" t="s">
        <v>23</v>
      </c>
      <c r="B102" s="1">
        <v>2023</v>
      </c>
      <c r="C102" s="1">
        <v>4.68</v>
      </c>
      <c r="D102" s="1">
        <v>9.2799999999999994</v>
      </c>
      <c r="E102" s="1">
        <v>6.11</v>
      </c>
      <c r="F102" s="1">
        <v>18.66</v>
      </c>
      <c r="G102" s="1">
        <v>55.33</v>
      </c>
      <c r="H102" s="1">
        <v>145</v>
      </c>
      <c r="I102" s="1">
        <v>92</v>
      </c>
      <c r="J102" s="1">
        <v>4290</v>
      </c>
      <c r="K102" s="1">
        <v>1105</v>
      </c>
      <c r="L102" s="1">
        <v>68792</v>
      </c>
      <c r="M102" s="1">
        <v>13541</v>
      </c>
      <c r="N102" s="1">
        <f t="shared" si="24"/>
        <v>237</v>
      </c>
      <c r="O102" s="1">
        <f t="shared" si="25"/>
        <v>5395</v>
      </c>
      <c r="P102" s="1">
        <f t="shared" si="26"/>
        <v>82333</v>
      </c>
      <c r="Q102" s="1">
        <v>88</v>
      </c>
      <c r="R102" s="1">
        <v>129</v>
      </c>
      <c r="S102" s="1">
        <v>3481</v>
      </c>
      <c r="T102" s="1">
        <v>1850</v>
      </c>
      <c r="U102" s="1">
        <v>54574</v>
      </c>
      <c r="V102" s="1">
        <v>28536</v>
      </c>
      <c r="W102" s="1">
        <f t="shared" si="27"/>
        <v>217</v>
      </c>
      <c r="X102" s="1">
        <f t="shared" si="28"/>
        <v>5331</v>
      </c>
      <c r="Y102" s="1">
        <f t="shared" si="29"/>
        <v>83110</v>
      </c>
      <c r="Z102" s="1">
        <v>10.26</v>
      </c>
      <c r="AA102" s="1">
        <v>9.7899999999999991</v>
      </c>
      <c r="AB102" s="1">
        <f t="shared" si="22"/>
        <v>10.024999999999999</v>
      </c>
      <c r="AC102" s="1">
        <v>13.87</v>
      </c>
      <c r="AD102" s="1">
        <v>14.19</v>
      </c>
      <c r="AE102" s="1">
        <f t="shared" si="23"/>
        <v>14.03</v>
      </c>
      <c r="AF102" s="1">
        <f t="shared" si="23"/>
        <v>14.11</v>
      </c>
      <c r="AG102" s="1">
        <v>99.64</v>
      </c>
      <c r="AH102" s="1">
        <v>98.71</v>
      </c>
      <c r="AI102" s="1">
        <v>81.5</v>
      </c>
      <c r="AJ102" s="1">
        <v>34.75</v>
      </c>
      <c r="AK102" s="3">
        <v>1657</v>
      </c>
      <c r="AL102" s="3">
        <v>272</v>
      </c>
      <c r="AM102" s="3">
        <v>1929</v>
      </c>
      <c r="AN102" s="3">
        <v>22621</v>
      </c>
      <c r="AO102" s="3">
        <v>3795</v>
      </c>
      <c r="AP102" s="3">
        <v>26416</v>
      </c>
      <c r="AQ102" s="3">
        <v>351594</v>
      </c>
      <c r="AR102" s="3">
        <v>67878</v>
      </c>
      <c r="AS102" s="3">
        <v>419472</v>
      </c>
      <c r="AT102">
        <v>458</v>
      </c>
      <c r="AU102">
        <v>239</v>
      </c>
      <c r="AV102">
        <v>697</v>
      </c>
      <c r="AW102">
        <v>8681</v>
      </c>
      <c r="AX102">
        <v>2269</v>
      </c>
      <c r="AY102">
        <v>10950</v>
      </c>
      <c r="AZ102">
        <v>129945</v>
      </c>
      <c r="BA102">
        <v>31929</v>
      </c>
      <c r="BB102">
        <v>161874</v>
      </c>
    </row>
    <row r="103" spans="1:54" x14ac:dyDescent="0.25">
      <c r="A103" s="1" t="s">
        <v>24</v>
      </c>
      <c r="B103" s="1">
        <v>2023</v>
      </c>
      <c r="C103" s="1">
        <v>5.18</v>
      </c>
      <c r="D103" s="1">
        <v>8.74</v>
      </c>
      <c r="E103" s="1">
        <v>6.45</v>
      </c>
      <c r="F103" s="1">
        <v>18.16</v>
      </c>
      <c r="G103" s="1">
        <v>48.62</v>
      </c>
      <c r="H103" s="1">
        <v>46</v>
      </c>
      <c r="I103" s="1">
        <v>22</v>
      </c>
      <c r="J103" s="1">
        <v>1205</v>
      </c>
      <c r="K103" s="1">
        <v>252</v>
      </c>
      <c r="L103" s="1">
        <v>16080</v>
      </c>
      <c r="M103" s="1">
        <v>2806</v>
      </c>
      <c r="N103" s="1">
        <f t="shared" si="24"/>
        <v>68</v>
      </c>
      <c r="O103" s="1">
        <f t="shared" si="25"/>
        <v>1457</v>
      </c>
      <c r="P103" s="1">
        <f t="shared" si="26"/>
        <v>18886</v>
      </c>
      <c r="Q103" s="1">
        <v>22</v>
      </c>
      <c r="R103" s="1">
        <v>12</v>
      </c>
      <c r="S103" s="1">
        <v>779</v>
      </c>
      <c r="T103" s="1">
        <v>153</v>
      </c>
      <c r="U103" s="1">
        <v>9519</v>
      </c>
      <c r="V103" s="1">
        <v>938</v>
      </c>
      <c r="W103" s="1">
        <f t="shared" si="27"/>
        <v>34</v>
      </c>
      <c r="X103" s="1">
        <f t="shared" si="28"/>
        <v>932</v>
      </c>
      <c r="Y103" s="1">
        <f t="shared" si="29"/>
        <v>10457</v>
      </c>
      <c r="Z103" s="1">
        <v>9.7799999999999994</v>
      </c>
      <c r="AA103" s="1">
        <v>9.17</v>
      </c>
      <c r="AB103" s="1">
        <f t="shared" si="22"/>
        <v>9.4749999999999996</v>
      </c>
      <c r="AC103" s="1">
        <v>12.97</v>
      </c>
      <c r="AD103" s="1">
        <v>13.63</v>
      </c>
      <c r="AE103" s="1">
        <f t="shared" si="23"/>
        <v>13.3</v>
      </c>
      <c r="AF103" s="1">
        <f t="shared" si="23"/>
        <v>13.465</v>
      </c>
      <c r="AG103" s="1">
        <v>99.22</v>
      </c>
      <c r="AH103" s="1">
        <v>96.96</v>
      </c>
      <c r="AI103" s="1">
        <v>77.03</v>
      </c>
      <c r="AJ103" s="1">
        <v>30.83</v>
      </c>
      <c r="AK103" s="3">
        <v>437</v>
      </c>
      <c r="AL103" s="3">
        <v>48</v>
      </c>
      <c r="AM103" s="3">
        <v>485</v>
      </c>
      <c r="AN103" s="3">
        <v>5580</v>
      </c>
      <c r="AO103" s="3">
        <v>637</v>
      </c>
      <c r="AP103" s="3">
        <v>6217</v>
      </c>
      <c r="AQ103" s="3">
        <v>69906</v>
      </c>
      <c r="AR103" s="3">
        <v>9971</v>
      </c>
      <c r="AS103" s="3">
        <v>79877</v>
      </c>
      <c r="AT103">
        <v>156</v>
      </c>
      <c r="AU103">
        <v>39</v>
      </c>
      <c r="AV103">
        <v>195</v>
      </c>
      <c r="AW103">
        <v>2531</v>
      </c>
      <c r="AX103">
        <v>361</v>
      </c>
      <c r="AY103">
        <v>2892</v>
      </c>
      <c r="AZ103">
        <v>29278</v>
      </c>
      <c r="BA103">
        <v>3815</v>
      </c>
      <c r="BB103">
        <v>33093</v>
      </c>
    </row>
    <row r="104" spans="1:54" x14ac:dyDescent="0.25">
      <c r="A104" s="1" t="s">
        <v>25</v>
      </c>
      <c r="B104" s="1">
        <v>2023</v>
      </c>
      <c r="C104" s="1">
        <v>4.91</v>
      </c>
      <c r="D104" s="1">
        <v>10.38</v>
      </c>
      <c r="E104" s="1">
        <v>7.38</v>
      </c>
      <c r="F104" s="1">
        <v>30.73</v>
      </c>
      <c r="G104" s="1">
        <v>41.86</v>
      </c>
      <c r="H104" s="1">
        <v>121</v>
      </c>
      <c r="I104" s="1">
        <v>108</v>
      </c>
      <c r="J104" s="1">
        <v>3754</v>
      </c>
      <c r="K104" s="1">
        <v>1035</v>
      </c>
      <c r="L104" s="1">
        <v>50115</v>
      </c>
      <c r="M104" s="1">
        <v>13452</v>
      </c>
      <c r="N104" s="1">
        <f t="shared" si="24"/>
        <v>229</v>
      </c>
      <c r="O104" s="1">
        <f t="shared" si="25"/>
        <v>4789</v>
      </c>
      <c r="P104" s="1">
        <f t="shared" si="26"/>
        <v>63567</v>
      </c>
      <c r="Q104" s="1">
        <v>92</v>
      </c>
      <c r="R104" s="1">
        <v>100</v>
      </c>
      <c r="S104" s="1">
        <v>3075</v>
      </c>
      <c r="T104" s="1">
        <v>1099</v>
      </c>
      <c r="U104" s="1">
        <v>33142</v>
      </c>
      <c r="V104" s="1">
        <v>12624</v>
      </c>
      <c r="W104" s="1">
        <f t="shared" si="27"/>
        <v>192</v>
      </c>
      <c r="X104" s="1">
        <f t="shared" si="28"/>
        <v>4174</v>
      </c>
      <c r="Y104" s="1">
        <f t="shared" si="29"/>
        <v>45766</v>
      </c>
      <c r="Z104" s="1">
        <v>9.6999999999999993</v>
      </c>
      <c r="AA104" s="1">
        <v>9.85</v>
      </c>
      <c r="AB104" s="1">
        <f t="shared" si="22"/>
        <v>9.7749999999999986</v>
      </c>
      <c r="AC104" s="1">
        <v>12.79</v>
      </c>
      <c r="AD104" s="1">
        <v>13.33</v>
      </c>
      <c r="AE104" s="1">
        <f t="shared" si="23"/>
        <v>13.059999999999999</v>
      </c>
      <c r="AF104" s="1">
        <f t="shared" si="23"/>
        <v>13.195</v>
      </c>
      <c r="AG104" s="1">
        <v>99.34</v>
      </c>
      <c r="AH104" s="1">
        <v>95</v>
      </c>
      <c r="AI104" s="1">
        <v>74.55</v>
      </c>
      <c r="AJ104" s="1">
        <v>25.88</v>
      </c>
      <c r="AK104" s="3">
        <v>1347</v>
      </c>
      <c r="AL104" s="3">
        <v>862</v>
      </c>
      <c r="AM104" s="3">
        <v>2209</v>
      </c>
      <c r="AN104" s="3">
        <v>13936</v>
      </c>
      <c r="AO104" s="3">
        <v>5789</v>
      </c>
      <c r="AP104" s="3">
        <v>19725</v>
      </c>
      <c r="AQ104" s="3">
        <v>135222</v>
      </c>
      <c r="AR104" s="3">
        <v>83601</v>
      </c>
      <c r="AS104" s="3">
        <v>218823</v>
      </c>
      <c r="AT104">
        <v>478</v>
      </c>
      <c r="AU104">
        <v>255</v>
      </c>
      <c r="AV104">
        <v>733</v>
      </c>
      <c r="AW104">
        <v>7839</v>
      </c>
      <c r="AX104">
        <v>1909</v>
      </c>
      <c r="AY104">
        <v>9748</v>
      </c>
      <c r="AZ104">
        <v>74181</v>
      </c>
      <c r="BA104">
        <v>24159</v>
      </c>
      <c r="BB104">
        <v>98340</v>
      </c>
    </row>
    <row r="105" spans="1:54" x14ac:dyDescent="0.25">
      <c r="A105" s="1" t="s">
        <v>26</v>
      </c>
      <c r="B105" s="1">
        <v>2023</v>
      </c>
      <c r="C105" s="1">
        <v>8.9</v>
      </c>
      <c r="D105" s="1">
        <v>14.09</v>
      </c>
      <c r="E105" s="1">
        <v>12.41</v>
      </c>
      <c r="F105" s="1">
        <v>22.39</v>
      </c>
      <c r="G105" s="1">
        <v>33.9</v>
      </c>
      <c r="H105" s="1">
        <v>176</v>
      </c>
      <c r="I105" s="1">
        <v>58</v>
      </c>
      <c r="J105" s="1">
        <v>5077</v>
      </c>
      <c r="K105" s="1">
        <v>606</v>
      </c>
      <c r="L105" s="1">
        <v>73086</v>
      </c>
      <c r="M105" s="1">
        <v>6780</v>
      </c>
      <c r="N105" s="1">
        <f t="shared" si="24"/>
        <v>234</v>
      </c>
      <c r="O105" s="1">
        <f t="shared" si="25"/>
        <v>5683</v>
      </c>
      <c r="P105" s="1">
        <f t="shared" si="26"/>
        <v>79866</v>
      </c>
      <c r="Q105" s="1">
        <v>107</v>
      </c>
      <c r="R105" s="1">
        <v>75</v>
      </c>
      <c r="S105" s="1">
        <v>2964</v>
      </c>
      <c r="T105" s="1">
        <v>881</v>
      </c>
      <c r="U105" s="1">
        <v>32054</v>
      </c>
      <c r="V105" s="1">
        <v>9889</v>
      </c>
      <c r="W105" s="1">
        <f t="shared" si="27"/>
        <v>182</v>
      </c>
      <c r="X105" s="1">
        <f t="shared" si="28"/>
        <v>3845</v>
      </c>
      <c r="Y105" s="1">
        <f t="shared" si="29"/>
        <v>41943</v>
      </c>
      <c r="Z105" s="1">
        <v>9.15</v>
      </c>
      <c r="AA105" s="1">
        <v>8.84</v>
      </c>
      <c r="AB105" s="1">
        <f t="shared" si="22"/>
        <v>8.995000000000001</v>
      </c>
      <c r="AC105" s="1">
        <v>13.17</v>
      </c>
      <c r="AD105" s="1">
        <v>13.83</v>
      </c>
      <c r="AE105" s="1">
        <f t="shared" si="23"/>
        <v>13.5</v>
      </c>
      <c r="AF105" s="1">
        <f t="shared" si="23"/>
        <v>13.664999999999999</v>
      </c>
      <c r="AG105" s="1">
        <v>98.34</v>
      </c>
      <c r="AH105" s="1">
        <v>93.13</v>
      </c>
      <c r="AI105" s="1">
        <v>76.290000000000006</v>
      </c>
      <c r="AJ105" s="1">
        <v>30.31</v>
      </c>
      <c r="AK105" s="3">
        <v>2675</v>
      </c>
      <c r="AL105" s="3">
        <v>269</v>
      </c>
      <c r="AM105" s="3">
        <v>2944</v>
      </c>
      <c r="AN105" s="3">
        <v>26240</v>
      </c>
      <c r="AO105" s="3">
        <v>2190</v>
      </c>
      <c r="AP105" s="3">
        <v>28430</v>
      </c>
      <c r="AQ105" s="3">
        <v>284498</v>
      </c>
      <c r="AR105" s="3">
        <v>27854</v>
      </c>
      <c r="AS105" s="3">
        <v>312352</v>
      </c>
      <c r="AT105">
        <v>734</v>
      </c>
      <c r="AU105">
        <v>143</v>
      </c>
      <c r="AV105">
        <v>877</v>
      </c>
      <c r="AW105">
        <v>11115</v>
      </c>
      <c r="AX105">
        <v>1021</v>
      </c>
      <c r="AY105">
        <v>12136</v>
      </c>
      <c r="AZ105">
        <v>101706</v>
      </c>
      <c r="BA105">
        <v>11527</v>
      </c>
      <c r="BB105">
        <v>113233</v>
      </c>
    </row>
    <row r="106" spans="1:54" x14ac:dyDescent="0.25">
      <c r="A106" s="1" t="s">
        <v>27</v>
      </c>
      <c r="B106" s="1">
        <v>2023</v>
      </c>
      <c r="C106" s="1">
        <v>5.01</v>
      </c>
      <c r="D106" s="1">
        <v>11.91</v>
      </c>
      <c r="E106" s="1">
        <v>8.6999999999999993</v>
      </c>
      <c r="F106" s="1">
        <v>22.24</v>
      </c>
      <c r="G106" s="1">
        <v>37.229999999999997</v>
      </c>
      <c r="H106" s="1">
        <v>337</v>
      </c>
      <c r="I106" s="1">
        <v>270</v>
      </c>
      <c r="J106" s="1">
        <v>13382</v>
      </c>
      <c r="K106" s="1">
        <v>2785</v>
      </c>
      <c r="L106" s="1">
        <v>193254</v>
      </c>
      <c r="M106" s="1">
        <v>36763</v>
      </c>
      <c r="N106" s="1">
        <f t="shared" si="24"/>
        <v>607</v>
      </c>
      <c r="O106" s="1">
        <f t="shared" si="25"/>
        <v>16167</v>
      </c>
      <c r="P106" s="1">
        <f t="shared" si="26"/>
        <v>230017</v>
      </c>
      <c r="Q106" s="1">
        <v>168</v>
      </c>
      <c r="R106" s="1">
        <v>238</v>
      </c>
      <c r="S106" s="1">
        <v>7659</v>
      </c>
      <c r="T106" s="1">
        <v>2685</v>
      </c>
      <c r="U106" s="1">
        <v>87122</v>
      </c>
      <c r="V106" s="1">
        <v>33178</v>
      </c>
      <c r="W106" s="1">
        <f t="shared" si="27"/>
        <v>406</v>
      </c>
      <c r="X106" s="1">
        <f t="shared" si="28"/>
        <v>10344</v>
      </c>
      <c r="Y106" s="1">
        <f t="shared" si="29"/>
        <v>120300</v>
      </c>
      <c r="Z106" s="1">
        <v>8.9600000000000009</v>
      </c>
      <c r="AA106" s="1">
        <v>8.59</v>
      </c>
      <c r="AB106" s="1">
        <f t="shared" si="22"/>
        <v>8.7750000000000004</v>
      </c>
      <c r="AC106" s="1">
        <v>13.42</v>
      </c>
      <c r="AD106" s="1">
        <v>13.83</v>
      </c>
      <c r="AE106" s="1">
        <f t="shared" si="23"/>
        <v>13.625</v>
      </c>
      <c r="AF106" s="1">
        <f t="shared" si="23"/>
        <v>13.727499999999999</v>
      </c>
      <c r="AG106" s="1">
        <v>99.49</v>
      </c>
      <c r="AH106" s="1">
        <v>93.22</v>
      </c>
      <c r="AI106" s="1">
        <v>71</v>
      </c>
      <c r="AJ106" s="1">
        <v>37.89</v>
      </c>
      <c r="AK106" s="3">
        <v>6070</v>
      </c>
      <c r="AL106" s="3">
        <v>364</v>
      </c>
      <c r="AM106" s="3">
        <v>6434</v>
      </c>
      <c r="AN106" s="3">
        <v>65654</v>
      </c>
      <c r="AO106" s="3">
        <v>4992</v>
      </c>
      <c r="AP106" s="3">
        <v>70646</v>
      </c>
      <c r="AQ106" s="3">
        <v>809775</v>
      </c>
      <c r="AR106" s="3">
        <v>73378</v>
      </c>
      <c r="AS106" s="3">
        <v>883153</v>
      </c>
      <c r="AT106">
        <v>1269</v>
      </c>
      <c r="AU106">
        <v>444</v>
      </c>
      <c r="AV106">
        <v>1713</v>
      </c>
      <c r="AW106">
        <v>25938</v>
      </c>
      <c r="AX106">
        <v>4248</v>
      </c>
      <c r="AY106">
        <v>30186</v>
      </c>
      <c r="AZ106">
        <v>278068</v>
      </c>
      <c r="BA106">
        <v>53082</v>
      </c>
      <c r="BB106">
        <v>331150</v>
      </c>
    </row>
    <row r="107" spans="1:54" x14ac:dyDescent="0.25">
      <c r="A107" s="1" t="s">
        <v>28</v>
      </c>
      <c r="B107" s="1">
        <v>2023</v>
      </c>
      <c r="C107" s="1">
        <v>7.4</v>
      </c>
      <c r="D107" s="1">
        <v>13.94</v>
      </c>
      <c r="E107" s="1">
        <v>11.43</v>
      </c>
      <c r="F107" s="1">
        <v>21.97</v>
      </c>
      <c r="G107" s="1">
        <v>38.159999999999997</v>
      </c>
      <c r="H107" s="1">
        <v>251</v>
      </c>
      <c r="I107" s="1">
        <v>64</v>
      </c>
      <c r="J107" s="1">
        <v>7969</v>
      </c>
      <c r="K107" s="1">
        <v>566</v>
      </c>
      <c r="L107" s="1">
        <v>89328</v>
      </c>
      <c r="M107" s="1">
        <v>5209</v>
      </c>
      <c r="N107" s="1">
        <f t="shared" si="24"/>
        <v>315</v>
      </c>
      <c r="O107" s="1">
        <f t="shared" si="25"/>
        <v>8535</v>
      </c>
      <c r="P107" s="1">
        <f t="shared" si="26"/>
        <v>94537</v>
      </c>
      <c r="Q107" s="1">
        <v>102</v>
      </c>
      <c r="R107" s="1">
        <v>66</v>
      </c>
      <c r="S107" s="1">
        <v>3382</v>
      </c>
      <c r="T107" s="1">
        <v>689</v>
      </c>
      <c r="U107" s="1">
        <v>29223</v>
      </c>
      <c r="V107" s="1">
        <v>5513</v>
      </c>
      <c r="W107" s="1">
        <f t="shared" si="27"/>
        <v>168</v>
      </c>
      <c r="X107" s="1">
        <f t="shared" si="28"/>
        <v>4071</v>
      </c>
      <c r="Y107" s="1">
        <f t="shared" si="29"/>
        <v>34736</v>
      </c>
      <c r="Z107" s="1">
        <v>9.61</v>
      </c>
      <c r="AA107" s="1">
        <v>9.01</v>
      </c>
      <c r="AB107" s="1">
        <f t="shared" si="22"/>
        <v>9.3099999999999987</v>
      </c>
      <c r="AC107" s="1">
        <v>13.67</v>
      </c>
      <c r="AD107" s="1">
        <v>13.98</v>
      </c>
      <c r="AE107" s="1">
        <f t="shared" si="23"/>
        <v>13.824999999999999</v>
      </c>
      <c r="AF107" s="1">
        <f t="shared" si="23"/>
        <v>13.9025</v>
      </c>
      <c r="AG107" s="1">
        <v>99.2</v>
      </c>
      <c r="AH107" s="1">
        <v>95</v>
      </c>
      <c r="AI107" s="1">
        <v>74.599999999999994</v>
      </c>
      <c r="AJ107" s="1">
        <v>33.590000000000003</v>
      </c>
      <c r="AK107" s="3">
        <v>2256</v>
      </c>
      <c r="AL107" s="3">
        <v>91</v>
      </c>
      <c r="AM107" s="3">
        <v>2347</v>
      </c>
      <c r="AN107" s="3">
        <v>26646</v>
      </c>
      <c r="AO107" s="3">
        <v>916</v>
      </c>
      <c r="AP107" s="3">
        <v>27562</v>
      </c>
      <c r="AQ107" s="3">
        <v>280639</v>
      </c>
      <c r="AR107" s="3">
        <v>13531</v>
      </c>
      <c r="AS107" s="3">
        <v>294170</v>
      </c>
      <c r="AT107">
        <v>694</v>
      </c>
      <c r="AU107">
        <v>95</v>
      </c>
      <c r="AV107">
        <v>789</v>
      </c>
      <c r="AW107">
        <v>13501</v>
      </c>
      <c r="AX107">
        <v>803</v>
      </c>
      <c r="AY107">
        <v>14304</v>
      </c>
      <c r="AZ107">
        <v>108768</v>
      </c>
      <c r="BA107">
        <v>8034</v>
      </c>
      <c r="BB107">
        <v>116802</v>
      </c>
    </row>
    <row r="108" spans="1:54" x14ac:dyDescent="0.25">
      <c r="A108" s="1" t="s">
        <v>29</v>
      </c>
      <c r="B108" s="1">
        <v>2023</v>
      </c>
      <c r="C108" s="1">
        <v>4.47</v>
      </c>
      <c r="D108" s="1">
        <v>23.73</v>
      </c>
      <c r="E108" s="1">
        <v>15.15</v>
      </c>
      <c r="F108" s="1">
        <v>24.87</v>
      </c>
      <c r="G108" s="1">
        <v>36.270000000000003</v>
      </c>
      <c r="H108" s="1">
        <v>62</v>
      </c>
      <c r="I108" s="1">
        <v>9</v>
      </c>
      <c r="J108" s="1">
        <v>1950</v>
      </c>
      <c r="K108" s="1">
        <v>123</v>
      </c>
      <c r="L108" s="1">
        <v>30376</v>
      </c>
      <c r="M108" s="1">
        <v>1270</v>
      </c>
      <c r="N108" s="1">
        <f t="shared" si="24"/>
        <v>71</v>
      </c>
      <c r="O108" s="1">
        <f t="shared" si="25"/>
        <v>2073</v>
      </c>
      <c r="P108" s="1">
        <f t="shared" si="26"/>
        <v>31646</v>
      </c>
      <c r="Q108" s="1">
        <v>40</v>
      </c>
      <c r="R108" s="1">
        <v>19</v>
      </c>
      <c r="S108" s="1">
        <v>1491</v>
      </c>
      <c r="T108" s="1">
        <v>272</v>
      </c>
      <c r="U108" s="1">
        <v>14455</v>
      </c>
      <c r="V108" s="1">
        <v>2352</v>
      </c>
      <c r="W108" s="1">
        <f t="shared" si="27"/>
        <v>59</v>
      </c>
      <c r="X108" s="1">
        <f t="shared" si="28"/>
        <v>1763</v>
      </c>
      <c r="Y108" s="1">
        <f t="shared" si="29"/>
        <v>16807</v>
      </c>
      <c r="Z108" s="1">
        <v>7.74</v>
      </c>
      <c r="AA108" s="1">
        <v>8.4600000000000009</v>
      </c>
      <c r="AB108" s="1">
        <f t="shared" si="22"/>
        <v>8.1000000000000014</v>
      </c>
      <c r="AC108" s="1">
        <v>12.86</v>
      </c>
      <c r="AD108" s="1">
        <v>13.84</v>
      </c>
      <c r="AE108" s="1">
        <f t="shared" si="23"/>
        <v>13.35</v>
      </c>
      <c r="AF108" s="1">
        <f t="shared" si="23"/>
        <v>13.594999999999999</v>
      </c>
      <c r="AG108" s="1">
        <v>98.69</v>
      </c>
      <c r="AH108" s="1">
        <v>91.85</v>
      </c>
      <c r="AI108" s="1">
        <v>71.7</v>
      </c>
      <c r="AJ108" s="1">
        <v>35.5</v>
      </c>
      <c r="AK108" s="3">
        <v>897</v>
      </c>
      <c r="AL108" s="3">
        <v>34</v>
      </c>
      <c r="AM108" s="3">
        <v>931</v>
      </c>
      <c r="AN108" s="3">
        <v>8291</v>
      </c>
      <c r="AO108" s="3">
        <v>323</v>
      </c>
      <c r="AP108" s="3">
        <v>8614</v>
      </c>
      <c r="AQ108" s="3">
        <v>103429</v>
      </c>
      <c r="AR108" s="3">
        <v>4629</v>
      </c>
      <c r="AS108" s="3">
        <v>108058</v>
      </c>
      <c r="AT108">
        <v>313</v>
      </c>
      <c r="AU108">
        <v>29</v>
      </c>
      <c r="AV108">
        <v>342</v>
      </c>
      <c r="AW108">
        <v>4156</v>
      </c>
      <c r="AX108">
        <v>232</v>
      </c>
      <c r="AY108">
        <v>4388</v>
      </c>
      <c r="AZ108">
        <v>39019</v>
      </c>
      <c r="BA108">
        <v>2406</v>
      </c>
      <c r="BB108">
        <v>41425</v>
      </c>
    </row>
    <row r="109" spans="1:54" x14ac:dyDescent="0.25">
      <c r="A109" s="1" t="s">
        <v>30</v>
      </c>
      <c r="B109" s="1">
        <v>2023</v>
      </c>
      <c r="C109" s="1">
        <v>9.08</v>
      </c>
      <c r="D109" s="1">
        <v>12.1</v>
      </c>
      <c r="E109" s="1">
        <v>11.49</v>
      </c>
      <c r="F109" s="1">
        <v>21.81</v>
      </c>
      <c r="G109" s="1">
        <v>26.65</v>
      </c>
      <c r="H109" s="1">
        <v>77</v>
      </c>
      <c r="I109" s="1">
        <v>15</v>
      </c>
      <c r="J109" s="1">
        <v>2373</v>
      </c>
      <c r="K109" s="1">
        <v>91</v>
      </c>
      <c r="L109" s="1">
        <v>28370</v>
      </c>
      <c r="M109" s="1">
        <v>1295</v>
      </c>
      <c r="N109" s="1">
        <f t="shared" si="24"/>
        <v>92</v>
      </c>
      <c r="O109" s="1">
        <f t="shared" si="25"/>
        <v>2464</v>
      </c>
      <c r="P109" s="1">
        <f t="shared" si="26"/>
        <v>29665</v>
      </c>
      <c r="Q109" s="1">
        <v>60</v>
      </c>
      <c r="R109" s="1">
        <v>70</v>
      </c>
      <c r="S109" s="1">
        <v>1949</v>
      </c>
      <c r="T109" s="1">
        <v>683</v>
      </c>
      <c r="U109" s="1">
        <v>18604</v>
      </c>
      <c r="V109" s="1">
        <v>6469</v>
      </c>
      <c r="W109" s="1">
        <f t="shared" si="27"/>
        <v>130</v>
      </c>
      <c r="X109" s="1">
        <f t="shared" si="28"/>
        <v>2632</v>
      </c>
      <c r="Y109" s="1">
        <f t="shared" si="29"/>
        <v>25073</v>
      </c>
      <c r="Z109" s="1">
        <v>8.36</v>
      </c>
      <c r="AA109" s="1">
        <v>7.92</v>
      </c>
      <c r="AB109" s="1">
        <f t="shared" si="22"/>
        <v>8.14</v>
      </c>
      <c r="AC109" s="1">
        <v>12.76</v>
      </c>
      <c r="AD109" s="1">
        <v>13.28</v>
      </c>
      <c r="AE109" s="1">
        <f t="shared" si="23"/>
        <v>13.02</v>
      </c>
      <c r="AF109" s="1">
        <f t="shared" si="23"/>
        <v>13.149999999999999</v>
      </c>
      <c r="AG109" s="1">
        <v>98.31</v>
      </c>
      <c r="AH109" s="1">
        <v>89.47</v>
      </c>
      <c r="AI109" s="1">
        <v>71.569999999999993</v>
      </c>
      <c r="AJ109" s="1">
        <v>25.42</v>
      </c>
      <c r="AK109" s="3">
        <v>1297</v>
      </c>
      <c r="AL109" s="3">
        <v>32</v>
      </c>
      <c r="AM109" s="3">
        <v>1329</v>
      </c>
      <c r="AN109" s="3">
        <v>13795</v>
      </c>
      <c r="AO109" s="3">
        <v>318</v>
      </c>
      <c r="AP109" s="3">
        <v>14113</v>
      </c>
      <c r="AQ109" s="3">
        <v>138490</v>
      </c>
      <c r="AR109" s="3">
        <v>4810</v>
      </c>
      <c r="AS109" s="3">
        <v>143300</v>
      </c>
      <c r="AT109">
        <v>319</v>
      </c>
      <c r="AU109">
        <v>59</v>
      </c>
      <c r="AV109">
        <v>378</v>
      </c>
      <c r="AW109">
        <v>5260</v>
      </c>
      <c r="AX109">
        <v>445</v>
      </c>
      <c r="AY109">
        <v>5705</v>
      </c>
      <c r="AZ109">
        <v>46261</v>
      </c>
      <c r="BA109">
        <v>4961</v>
      </c>
      <c r="BB109">
        <v>51222</v>
      </c>
    </row>
    <row r="110" spans="1:54" x14ac:dyDescent="0.25">
      <c r="A110" s="1" t="s">
        <v>31</v>
      </c>
      <c r="B110" s="1">
        <v>2023</v>
      </c>
      <c r="C110" s="1">
        <v>5.49</v>
      </c>
      <c r="D110" s="1">
        <v>24.64</v>
      </c>
      <c r="E110" s="1">
        <v>16.420000000000002</v>
      </c>
      <c r="F110" s="1">
        <v>35.380000000000003</v>
      </c>
      <c r="G110" s="1">
        <v>34.58</v>
      </c>
      <c r="H110" s="1">
        <v>215</v>
      </c>
      <c r="I110" s="1">
        <v>73</v>
      </c>
      <c r="J110" s="1">
        <v>5485</v>
      </c>
      <c r="K110" s="1">
        <v>1236</v>
      </c>
      <c r="L110" s="1">
        <v>57822</v>
      </c>
      <c r="M110" s="1">
        <v>11768</v>
      </c>
      <c r="N110" s="1">
        <f t="shared" si="24"/>
        <v>288</v>
      </c>
      <c r="O110" s="1">
        <f t="shared" si="25"/>
        <v>6721</v>
      </c>
      <c r="P110" s="1">
        <f t="shared" si="26"/>
        <v>69590</v>
      </c>
      <c r="Q110" s="1">
        <v>84</v>
      </c>
      <c r="R110" s="1">
        <v>36</v>
      </c>
      <c r="S110" s="1">
        <v>2208</v>
      </c>
      <c r="T110" s="1">
        <v>574</v>
      </c>
      <c r="U110" s="1">
        <v>15750</v>
      </c>
      <c r="V110" s="1">
        <v>6062</v>
      </c>
      <c r="W110" s="1">
        <f t="shared" si="27"/>
        <v>120</v>
      </c>
      <c r="X110" s="1">
        <f t="shared" si="28"/>
        <v>2782</v>
      </c>
      <c r="Y110" s="1">
        <f t="shared" si="29"/>
        <v>21812</v>
      </c>
      <c r="Z110" s="1">
        <v>10.31</v>
      </c>
      <c r="AA110" s="1">
        <v>10.14</v>
      </c>
      <c r="AB110" s="1">
        <f t="shared" si="22"/>
        <v>10.225000000000001</v>
      </c>
      <c r="AC110" s="1">
        <v>13.87</v>
      </c>
      <c r="AD110" s="1">
        <v>14.39</v>
      </c>
      <c r="AE110" s="1">
        <f t="shared" si="23"/>
        <v>14.129999999999999</v>
      </c>
      <c r="AF110" s="1">
        <f t="shared" si="23"/>
        <v>14.26</v>
      </c>
      <c r="AG110" s="1">
        <v>99.59</v>
      </c>
      <c r="AH110" s="1">
        <v>97.97</v>
      </c>
      <c r="AI110" s="1">
        <v>79.900000000000006</v>
      </c>
      <c r="AJ110" s="1">
        <v>40.270000000000003</v>
      </c>
      <c r="AK110" s="3">
        <v>1277</v>
      </c>
      <c r="AL110" s="3">
        <v>538</v>
      </c>
      <c r="AM110" s="3">
        <v>1815</v>
      </c>
      <c r="AN110" s="3">
        <v>14256</v>
      </c>
      <c r="AO110" s="3">
        <v>4115</v>
      </c>
      <c r="AP110" s="3">
        <v>18371</v>
      </c>
      <c r="AQ110" s="3">
        <v>148862</v>
      </c>
      <c r="AR110" s="3">
        <v>58122</v>
      </c>
      <c r="AS110" s="3">
        <v>206984</v>
      </c>
      <c r="AT110">
        <v>552</v>
      </c>
      <c r="AU110">
        <v>144</v>
      </c>
      <c r="AV110">
        <v>696</v>
      </c>
      <c r="AW110">
        <v>9001</v>
      </c>
      <c r="AX110">
        <v>1503</v>
      </c>
      <c r="AY110">
        <v>10504</v>
      </c>
      <c r="AZ110">
        <v>73152</v>
      </c>
      <c r="BA110">
        <v>16284</v>
      </c>
      <c r="BB110">
        <v>89436</v>
      </c>
    </row>
    <row r="111" spans="1:54" x14ac:dyDescent="0.25">
      <c r="A111" s="1" t="s">
        <v>32</v>
      </c>
      <c r="B111" s="1">
        <v>2023</v>
      </c>
      <c r="C111" s="1">
        <v>6.23</v>
      </c>
      <c r="D111" s="1">
        <v>6.55</v>
      </c>
      <c r="E111" s="1">
        <v>6.46</v>
      </c>
      <c r="F111" s="1">
        <v>29.71</v>
      </c>
      <c r="G111" s="1">
        <v>33.92</v>
      </c>
      <c r="H111" s="1">
        <v>139</v>
      </c>
      <c r="I111" s="1">
        <v>85</v>
      </c>
      <c r="J111" s="1">
        <v>3201</v>
      </c>
      <c r="K111" s="1">
        <v>744</v>
      </c>
      <c r="L111" s="1">
        <v>35868</v>
      </c>
      <c r="M111" s="1">
        <v>8941</v>
      </c>
      <c r="N111" s="1">
        <f t="shared" si="24"/>
        <v>224</v>
      </c>
      <c r="O111" s="1">
        <f t="shared" si="25"/>
        <v>3945</v>
      </c>
      <c r="P111" s="1">
        <f t="shared" si="26"/>
        <v>44809</v>
      </c>
      <c r="Q111" s="1">
        <v>63</v>
      </c>
      <c r="R111" s="1">
        <v>87</v>
      </c>
      <c r="S111" s="1">
        <v>1347</v>
      </c>
      <c r="T111" s="1">
        <v>723</v>
      </c>
      <c r="U111" s="1">
        <v>9677</v>
      </c>
      <c r="V111" s="1">
        <v>9474</v>
      </c>
      <c r="W111" s="1">
        <f t="shared" si="27"/>
        <v>150</v>
      </c>
      <c r="X111" s="1">
        <f t="shared" si="28"/>
        <v>2070</v>
      </c>
      <c r="Y111" s="1">
        <f t="shared" si="29"/>
        <v>19151</v>
      </c>
      <c r="Z111" s="1">
        <v>9.52</v>
      </c>
      <c r="AA111" s="1">
        <v>9.01</v>
      </c>
      <c r="AB111" s="1">
        <f t="shared" si="22"/>
        <v>9.2650000000000006</v>
      </c>
      <c r="AC111" s="1">
        <v>13.75</v>
      </c>
      <c r="AD111" s="1">
        <v>13.74</v>
      </c>
      <c r="AE111" s="1">
        <f t="shared" si="23"/>
        <v>13.745000000000001</v>
      </c>
      <c r="AF111" s="1">
        <f t="shared" si="23"/>
        <v>13.7425</v>
      </c>
      <c r="AG111" s="1">
        <v>99.12</v>
      </c>
      <c r="AH111" s="1">
        <v>97.51</v>
      </c>
      <c r="AI111" s="1">
        <v>78.38</v>
      </c>
      <c r="AJ111" s="1">
        <v>32.19</v>
      </c>
      <c r="AK111" s="3">
        <v>1111</v>
      </c>
      <c r="AL111" s="3">
        <v>206</v>
      </c>
      <c r="AM111" s="3">
        <v>1317</v>
      </c>
      <c r="AN111" s="3">
        <v>11324</v>
      </c>
      <c r="AO111" s="3">
        <v>1363</v>
      </c>
      <c r="AP111" s="3">
        <v>12687</v>
      </c>
      <c r="AQ111" s="3">
        <v>118277</v>
      </c>
      <c r="AR111" s="3">
        <v>22861</v>
      </c>
      <c r="AS111" s="3">
        <v>141138</v>
      </c>
      <c r="AT111">
        <v>373</v>
      </c>
      <c r="AU111">
        <v>146</v>
      </c>
      <c r="AV111">
        <v>519</v>
      </c>
      <c r="AW111">
        <v>5714</v>
      </c>
      <c r="AX111">
        <v>1102</v>
      </c>
      <c r="AY111">
        <v>6816</v>
      </c>
      <c r="AZ111">
        <v>46391</v>
      </c>
      <c r="BA111">
        <v>13331</v>
      </c>
      <c r="BB111">
        <v>59722</v>
      </c>
    </row>
    <row r="112" spans="1:54" x14ac:dyDescent="0.25">
      <c r="A112" s="1" t="s">
        <v>33</v>
      </c>
      <c r="B112" s="1">
        <v>2023</v>
      </c>
      <c r="C112" s="1">
        <f>8.23/2</f>
        <v>4.1150000000000002</v>
      </c>
      <c r="D112" s="1">
        <f>29.2/2</f>
        <v>14.6</v>
      </c>
      <c r="E112" s="1">
        <f>20.49/2</f>
        <v>10.244999999999999</v>
      </c>
      <c r="F112" s="1">
        <v>13.99</v>
      </c>
      <c r="G112" s="1">
        <v>20.725000000000001</v>
      </c>
      <c r="H112" s="1">
        <v>43</v>
      </c>
      <c r="I112" s="1">
        <v>21</v>
      </c>
      <c r="J112" s="1">
        <v>954</v>
      </c>
      <c r="K112" s="1">
        <v>331</v>
      </c>
      <c r="L112" s="1">
        <v>13327</v>
      </c>
      <c r="M112" s="1">
        <v>3554</v>
      </c>
      <c r="N112" s="1">
        <f t="shared" si="24"/>
        <v>64</v>
      </c>
      <c r="O112" s="1">
        <f t="shared" si="25"/>
        <v>1285</v>
      </c>
      <c r="P112" s="1">
        <f t="shared" si="26"/>
        <v>16881</v>
      </c>
      <c r="Q112" s="1">
        <v>16</v>
      </c>
      <c r="R112" s="1">
        <v>5</v>
      </c>
      <c r="S112" s="1">
        <v>520</v>
      </c>
      <c r="T112" s="1">
        <v>121</v>
      </c>
      <c r="U112" s="1">
        <v>5287</v>
      </c>
      <c r="V112" s="1">
        <v>1449</v>
      </c>
      <c r="W112" s="1">
        <f t="shared" si="27"/>
        <v>21</v>
      </c>
      <c r="X112" s="1">
        <f t="shared" si="28"/>
        <v>641</v>
      </c>
      <c r="Y112" s="1">
        <f t="shared" si="29"/>
        <v>6736</v>
      </c>
      <c r="Z112" s="1">
        <v>5.23</v>
      </c>
      <c r="AA112" s="1">
        <v>3.94</v>
      </c>
      <c r="AB112" s="1">
        <f t="shared" si="22"/>
        <v>4.585</v>
      </c>
      <c r="AC112" s="1">
        <v>6.7549999999999999</v>
      </c>
      <c r="AD112" s="1">
        <v>6.5949999999999998</v>
      </c>
      <c r="AE112" s="1">
        <f t="shared" si="23"/>
        <v>6.6749999999999998</v>
      </c>
      <c r="AF112" s="1">
        <f t="shared" si="23"/>
        <v>6.6349999999999998</v>
      </c>
      <c r="AG112" s="1">
        <v>49.204999999999998</v>
      </c>
      <c r="AH112" s="1">
        <v>48.71</v>
      </c>
      <c r="AI112" s="1">
        <v>40.29</v>
      </c>
      <c r="AJ112" s="1">
        <v>17.87</v>
      </c>
      <c r="AK112" s="3">
        <v>406</v>
      </c>
      <c r="AL112" s="3">
        <v>163</v>
      </c>
      <c r="AM112" s="3">
        <v>569</v>
      </c>
      <c r="AN112" s="3">
        <v>4014</v>
      </c>
      <c r="AO112" s="3">
        <v>1414</v>
      </c>
      <c r="AP112" s="3">
        <v>5428</v>
      </c>
      <c r="AQ112" s="3">
        <v>48434</v>
      </c>
      <c r="AR112" s="3">
        <v>23303</v>
      </c>
      <c r="AS112" s="3">
        <v>71737</v>
      </c>
      <c r="AT112">
        <v>124</v>
      </c>
      <c r="AU112">
        <v>40</v>
      </c>
      <c r="AV112">
        <v>164</v>
      </c>
      <c r="AW112">
        <v>1951</v>
      </c>
      <c r="AX112">
        <v>529</v>
      </c>
      <c r="AY112">
        <v>2480</v>
      </c>
      <c r="AZ112">
        <v>20785</v>
      </c>
      <c r="BA112">
        <v>6684</v>
      </c>
      <c r="BB112">
        <v>27469</v>
      </c>
    </row>
    <row r="113" spans="1:54" x14ac:dyDescent="0.25">
      <c r="A113" s="1" t="s">
        <v>34</v>
      </c>
      <c r="B113" s="1">
        <v>2023</v>
      </c>
      <c r="C113" s="1">
        <f>8.23/2</f>
        <v>4.1150000000000002</v>
      </c>
      <c r="D113" s="1">
        <f>29.2/2</f>
        <v>14.6</v>
      </c>
      <c r="E113" s="1">
        <f>20.49/2</f>
        <v>10.244999999999999</v>
      </c>
      <c r="F113" s="1">
        <v>13.99</v>
      </c>
      <c r="G113" s="1">
        <v>20.725000000000001</v>
      </c>
      <c r="H113" s="1">
        <v>43</v>
      </c>
      <c r="I113" s="1">
        <v>29</v>
      </c>
      <c r="J113" s="1">
        <v>972</v>
      </c>
      <c r="K113" s="1">
        <v>390</v>
      </c>
      <c r="L113" s="1">
        <v>10660</v>
      </c>
      <c r="M113" s="1">
        <v>3600</v>
      </c>
      <c r="N113" s="1">
        <f t="shared" si="24"/>
        <v>72</v>
      </c>
      <c r="O113" s="1">
        <f t="shared" si="25"/>
        <v>1362</v>
      </c>
      <c r="P113" s="1">
        <f t="shared" si="26"/>
        <v>14260</v>
      </c>
      <c r="Q113" s="1">
        <v>16</v>
      </c>
      <c r="R113" s="1">
        <v>22</v>
      </c>
      <c r="S113" s="1">
        <v>530</v>
      </c>
      <c r="T113" s="1">
        <v>302</v>
      </c>
      <c r="U113" s="1">
        <v>5570</v>
      </c>
      <c r="V113" s="1">
        <v>3415</v>
      </c>
      <c r="W113" s="1">
        <f t="shared" si="27"/>
        <v>38</v>
      </c>
      <c r="X113" s="1">
        <f t="shared" si="28"/>
        <v>832</v>
      </c>
      <c r="Y113" s="1">
        <f t="shared" si="29"/>
        <v>8985</v>
      </c>
      <c r="Z113" s="1">
        <v>5.23</v>
      </c>
      <c r="AA113" s="1">
        <v>3.94</v>
      </c>
      <c r="AB113" s="1">
        <f t="shared" si="22"/>
        <v>4.585</v>
      </c>
      <c r="AC113" s="1">
        <v>6.7549999999999999</v>
      </c>
      <c r="AD113" s="1">
        <v>6.5949999999999998</v>
      </c>
      <c r="AE113" s="1">
        <f t="shared" si="23"/>
        <v>6.6749999999999998</v>
      </c>
      <c r="AF113" s="1">
        <f t="shared" si="23"/>
        <v>6.6349999999999998</v>
      </c>
      <c r="AG113" s="1">
        <v>49.204999999999998</v>
      </c>
      <c r="AH113" s="1">
        <v>48.71</v>
      </c>
      <c r="AI113" s="1">
        <v>40.29</v>
      </c>
      <c r="AJ113" s="1">
        <v>17.87</v>
      </c>
      <c r="AK113" s="3">
        <v>302</v>
      </c>
      <c r="AL113" s="3">
        <v>245</v>
      </c>
      <c r="AM113" s="3">
        <v>547</v>
      </c>
      <c r="AN113" s="3">
        <v>3505</v>
      </c>
      <c r="AO113" s="3">
        <v>1688</v>
      </c>
      <c r="AP113" s="3">
        <v>5193</v>
      </c>
      <c r="AQ113" s="3">
        <v>35284</v>
      </c>
      <c r="AR113" s="3">
        <v>24943</v>
      </c>
      <c r="AS113" s="3">
        <v>60227</v>
      </c>
      <c r="AT113">
        <v>123</v>
      </c>
      <c r="AU113">
        <v>58</v>
      </c>
      <c r="AV113">
        <v>181</v>
      </c>
      <c r="AW113">
        <v>2050</v>
      </c>
      <c r="AX113">
        <v>588</v>
      </c>
      <c r="AY113">
        <v>2638</v>
      </c>
      <c r="AZ113">
        <v>17856</v>
      </c>
      <c r="BA113">
        <v>6794</v>
      </c>
      <c r="BB113">
        <v>24650</v>
      </c>
    </row>
    <row r="114" spans="1:54" x14ac:dyDescent="0.25">
      <c r="A114" s="1" t="s">
        <v>35</v>
      </c>
      <c r="B114" s="1">
        <v>2023</v>
      </c>
      <c r="C114" s="1">
        <v>1.42</v>
      </c>
      <c r="D114" s="1">
        <v>8.6225000000000005</v>
      </c>
      <c r="E114" s="1">
        <v>6.5075000000000003</v>
      </c>
      <c r="F114" s="1">
        <v>6.2649999999999997</v>
      </c>
      <c r="G114" s="1">
        <v>3.8925000000000001</v>
      </c>
      <c r="H114" s="1">
        <v>57</v>
      </c>
      <c r="I114" s="1">
        <v>56</v>
      </c>
      <c r="J114" s="1">
        <v>1467</v>
      </c>
      <c r="K114" s="1">
        <v>843</v>
      </c>
      <c r="L114" s="1">
        <v>22167</v>
      </c>
      <c r="M114" s="1">
        <v>11102</v>
      </c>
      <c r="N114" s="1">
        <f t="shared" si="24"/>
        <v>113</v>
      </c>
      <c r="O114" s="1">
        <f t="shared" si="25"/>
        <v>2310</v>
      </c>
      <c r="P114" s="1">
        <f t="shared" si="26"/>
        <v>33269</v>
      </c>
      <c r="Q114" s="1">
        <v>35</v>
      </c>
      <c r="R114" s="1">
        <v>14</v>
      </c>
      <c r="S114" s="1">
        <v>968</v>
      </c>
      <c r="T114" s="1">
        <v>304</v>
      </c>
      <c r="U114" s="1">
        <v>9433</v>
      </c>
      <c r="V114" s="1">
        <v>3930</v>
      </c>
      <c r="W114" s="1">
        <f t="shared" si="27"/>
        <v>49</v>
      </c>
      <c r="X114" s="1">
        <f t="shared" si="28"/>
        <v>1272</v>
      </c>
      <c r="Y114" s="1">
        <f t="shared" si="29"/>
        <v>13363</v>
      </c>
      <c r="Z114" s="1">
        <v>1.905</v>
      </c>
      <c r="AA114" s="1">
        <v>1.6125</v>
      </c>
      <c r="AB114" s="1">
        <f t="shared" si="22"/>
        <v>1.75875</v>
      </c>
      <c r="AC114" s="1">
        <v>2.835</v>
      </c>
      <c r="AD114" s="1">
        <v>2.7825000000000002</v>
      </c>
      <c r="AE114" s="1">
        <f t="shared" si="23"/>
        <v>2.8087499999999999</v>
      </c>
      <c r="AF114" s="1">
        <f t="shared" si="23"/>
        <v>2.7956250000000002</v>
      </c>
      <c r="AG114" s="1">
        <v>20.9025</v>
      </c>
      <c r="AH114" s="1">
        <v>20.227499999999999</v>
      </c>
      <c r="AI114" s="1">
        <v>16.037500000000001</v>
      </c>
      <c r="AJ114" s="1">
        <v>6.5149999999999997</v>
      </c>
      <c r="AK114" s="3">
        <v>487</v>
      </c>
      <c r="AL114" s="3">
        <v>344</v>
      </c>
      <c r="AM114" s="3">
        <v>831</v>
      </c>
      <c r="AN114" s="3">
        <v>4745</v>
      </c>
      <c r="AO114" s="3">
        <v>2898</v>
      </c>
      <c r="AP114" s="3">
        <v>7643</v>
      </c>
      <c r="AQ114" s="3">
        <v>67324</v>
      </c>
      <c r="AR114" s="3">
        <v>49512</v>
      </c>
      <c r="AS114" s="3">
        <v>116836</v>
      </c>
      <c r="AT114">
        <v>189</v>
      </c>
      <c r="AU114">
        <v>80</v>
      </c>
      <c r="AV114">
        <v>269</v>
      </c>
      <c r="AW114">
        <v>3093</v>
      </c>
      <c r="AX114">
        <v>896</v>
      </c>
      <c r="AY114">
        <v>3989</v>
      </c>
      <c r="AZ114">
        <v>38710</v>
      </c>
      <c r="BA114">
        <v>12378</v>
      </c>
      <c r="BB114">
        <v>51088</v>
      </c>
    </row>
    <row r="115" spans="1:54" x14ac:dyDescent="0.25">
      <c r="A115" s="1" t="s">
        <v>36</v>
      </c>
      <c r="B115" s="1">
        <v>2023</v>
      </c>
      <c r="C115" s="1">
        <v>1.42</v>
      </c>
      <c r="D115" s="1">
        <v>8.6225000000000005</v>
      </c>
      <c r="E115" s="1">
        <v>6.5075000000000003</v>
      </c>
      <c r="F115" s="1">
        <v>6.2649999999999997</v>
      </c>
      <c r="G115" s="1">
        <v>3.8925000000000001</v>
      </c>
      <c r="H115" s="1">
        <v>22</v>
      </c>
      <c r="I115" s="1">
        <v>15</v>
      </c>
      <c r="J115" s="1">
        <v>709</v>
      </c>
      <c r="K115" s="1">
        <v>214</v>
      </c>
      <c r="L115" s="1">
        <v>9966</v>
      </c>
      <c r="M115" s="1">
        <v>2918</v>
      </c>
      <c r="N115" s="1">
        <f t="shared" si="24"/>
        <v>37</v>
      </c>
      <c r="O115" s="1">
        <f t="shared" si="25"/>
        <v>923</v>
      </c>
      <c r="P115" s="1">
        <f t="shared" si="26"/>
        <v>12884</v>
      </c>
      <c r="Q115" s="1">
        <v>21</v>
      </c>
      <c r="R115" s="1">
        <v>4</v>
      </c>
      <c r="S115" s="1">
        <v>584</v>
      </c>
      <c r="T115" s="1">
        <v>62</v>
      </c>
      <c r="U115" s="1">
        <v>6300</v>
      </c>
      <c r="V115" s="1">
        <v>707</v>
      </c>
      <c r="W115" s="1">
        <f t="shared" si="27"/>
        <v>25</v>
      </c>
      <c r="X115" s="1">
        <f t="shared" si="28"/>
        <v>646</v>
      </c>
      <c r="Y115" s="1">
        <f t="shared" si="29"/>
        <v>7007</v>
      </c>
      <c r="Z115" s="1">
        <v>1.905</v>
      </c>
      <c r="AA115" s="1">
        <v>1.6125</v>
      </c>
      <c r="AB115" s="1">
        <f t="shared" si="22"/>
        <v>1.75875</v>
      </c>
      <c r="AC115" s="1">
        <v>2.835</v>
      </c>
      <c r="AD115" s="1">
        <v>2.7825000000000002</v>
      </c>
      <c r="AE115" s="1">
        <f t="shared" si="23"/>
        <v>2.8087499999999999</v>
      </c>
      <c r="AF115" s="1">
        <f t="shared" si="23"/>
        <v>2.7956250000000002</v>
      </c>
      <c r="AG115" s="1">
        <v>20.9025</v>
      </c>
      <c r="AH115" s="1">
        <v>20.227499999999999</v>
      </c>
      <c r="AI115" s="1">
        <v>16.037500000000001</v>
      </c>
      <c r="AJ115" s="1">
        <v>6.5149999999999997</v>
      </c>
      <c r="AK115" s="3">
        <v>372</v>
      </c>
      <c r="AL115" s="3">
        <v>234</v>
      </c>
      <c r="AM115" s="3">
        <v>606</v>
      </c>
      <c r="AN115" s="3">
        <v>2792</v>
      </c>
      <c r="AO115" s="3">
        <v>1678</v>
      </c>
      <c r="AP115" s="3">
        <v>4470</v>
      </c>
      <c r="AQ115" s="3">
        <v>56014</v>
      </c>
      <c r="AR115" s="3">
        <v>38962</v>
      </c>
      <c r="AS115" s="3">
        <v>94976</v>
      </c>
      <c r="AT115">
        <v>94</v>
      </c>
      <c r="AU115">
        <v>36</v>
      </c>
      <c r="AV115">
        <v>130</v>
      </c>
      <c r="AW115">
        <v>1592</v>
      </c>
      <c r="AX115">
        <v>465</v>
      </c>
      <c r="AY115">
        <v>2057</v>
      </c>
      <c r="AZ115">
        <v>20959</v>
      </c>
      <c r="BA115">
        <v>6633</v>
      </c>
      <c r="BB115">
        <v>27592</v>
      </c>
    </row>
    <row r="116" spans="1:54" x14ac:dyDescent="0.25">
      <c r="A116" s="1" t="s">
        <v>37</v>
      </c>
      <c r="B116" s="1">
        <v>2023</v>
      </c>
      <c r="C116" s="1">
        <v>1.42</v>
      </c>
      <c r="D116" s="1">
        <v>8.6225000000000005</v>
      </c>
      <c r="E116" s="1">
        <v>6.5075000000000003</v>
      </c>
      <c r="F116" s="1">
        <v>6.2649999999999997</v>
      </c>
      <c r="G116" s="1">
        <v>3.8925000000000001</v>
      </c>
      <c r="H116" s="1">
        <v>28</v>
      </c>
      <c r="I116" s="1">
        <v>28</v>
      </c>
      <c r="J116" s="1">
        <v>684</v>
      </c>
      <c r="K116" s="1">
        <v>363</v>
      </c>
      <c r="L116" s="1">
        <v>10862</v>
      </c>
      <c r="M116" s="1">
        <v>5352</v>
      </c>
      <c r="N116" s="1">
        <f t="shared" si="24"/>
        <v>56</v>
      </c>
      <c r="O116" s="1">
        <f t="shared" si="25"/>
        <v>1047</v>
      </c>
      <c r="P116" s="1">
        <f t="shared" si="26"/>
        <v>16214</v>
      </c>
      <c r="Q116" s="1">
        <v>16</v>
      </c>
      <c r="R116" s="1">
        <v>35</v>
      </c>
      <c r="S116" s="1">
        <v>486</v>
      </c>
      <c r="T116" s="1">
        <v>512</v>
      </c>
      <c r="U116" s="1">
        <v>5253</v>
      </c>
      <c r="V116" s="1">
        <v>5928</v>
      </c>
      <c r="W116" s="1">
        <f t="shared" si="27"/>
        <v>51</v>
      </c>
      <c r="X116" s="1">
        <f t="shared" si="28"/>
        <v>998</v>
      </c>
      <c r="Y116" s="1">
        <f t="shared" si="29"/>
        <v>11181</v>
      </c>
      <c r="Z116" s="1">
        <v>1.905</v>
      </c>
      <c r="AA116" s="1">
        <v>1.6125</v>
      </c>
      <c r="AB116" s="1">
        <f t="shared" si="22"/>
        <v>1.75875</v>
      </c>
      <c r="AC116" s="1">
        <v>2.835</v>
      </c>
      <c r="AD116" s="1">
        <v>2.7825000000000002</v>
      </c>
      <c r="AE116" s="1">
        <f t="shared" si="23"/>
        <v>2.8087499999999999</v>
      </c>
      <c r="AF116" s="1">
        <f t="shared" si="23"/>
        <v>2.7956250000000002</v>
      </c>
      <c r="AG116" s="1">
        <v>20.9025</v>
      </c>
      <c r="AH116" s="1">
        <v>20.227499999999999</v>
      </c>
      <c r="AI116" s="1">
        <v>16.037500000000001</v>
      </c>
      <c r="AJ116" s="1">
        <v>6.5149999999999997</v>
      </c>
      <c r="AK116" s="3">
        <v>291</v>
      </c>
      <c r="AL116" s="3">
        <v>262</v>
      </c>
      <c r="AM116" s="3">
        <v>553</v>
      </c>
      <c r="AN116" s="3">
        <v>2890</v>
      </c>
      <c r="AO116" s="3">
        <v>2238</v>
      </c>
      <c r="AP116" s="3">
        <v>5128</v>
      </c>
      <c r="AQ116" s="3">
        <v>70019</v>
      </c>
      <c r="AR116" s="3">
        <v>73033</v>
      </c>
      <c r="AS116" s="3">
        <v>143052</v>
      </c>
      <c r="AT116">
        <v>101</v>
      </c>
      <c r="AU116">
        <v>70</v>
      </c>
      <c r="AV116">
        <v>171</v>
      </c>
      <c r="AW116">
        <v>1619</v>
      </c>
      <c r="AX116">
        <v>768</v>
      </c>
      <c r="AY116">
        <v>2387</v>
      </c>
      <c r="AZ116">
        <v>27354</v>
      </c>
      <c r="BA116">
        <v>13250</v>
      </c>
      <c r="BB116">
        <v>40604</v>
      </c>
    </row>
    <row r="117" spans="1:54" x14ac:dyDescent="0.25">
      <c r="A117" s="1" t="s">
        <v>38</v>
      </c>
      <c r="B117" s="1">
        <v>2023</v>
      </c>
      <c r="C117" s="1">
        <v>1.42</v>
      </c>
      <c r="D117" s="1">
        <v>8.6225000000000005</v>
      </c>
      <c r="E117" s="1">
        <v>6.5075000000000003</v>
      </c>
      <c r="F117" s="1">
        <v>6.2649999999999997</v>
      </c>
      <c r="G117" s="1">
        <v>3.8925000000000001</v>
      </c>
      <c r="H117" s="1">
        <v>44</v>
      </c>
      <c r="I117" s="1">
        <v>18</v>
      </c>
      <c r="J117" s="1">
        <v>603</v>
      </c>
      <c r="K117" s="1">
        <v>237</v>
      </c>
      <c r="L117" s="1">
        <v>9944</v>
      </c>
      <c r="M117" s="1">
        <v>3899</v>
      </c>
      <c r="N117" s="1">
        <f t="shared" si="24"/>
        <v>62</v>
      </c>
      <c r="O117" s="1">
        <f t="shared" si="25"/>
        <v>840</v>
      </c>
      <c r="P117" s="1">
        <f t="shared" si="26"/>
        <v>13843</v>
      </c>
      <c r="Q117" s="1">
        <v>10</v>
      </c>
      <c r="R117" s="1">
        <v>9</v>
      </c>
      <c r="S117" s="1">
        <v>121</v>
      </c>
      <c r="T117" s="1">
        <v>128</v>
      </c>
      <c r="U117" s="1">
        <v>1726</v>
      </c>
      <c r="V117" s="1">
        <v>2699</v>
      </c>
      <c r="W117" s="1">
        <f t="shared" si="27"/>
        <v>19</v>
      </c>
      <c r="X117" s="1">
        <f t="shared" si="28"/>
        <v>249</v>
      </c>
      <c r="Y117" s="1">
        <f t="shared" si="29"/>
        <v>4425</v>
      </c>
      <c r="Z117" s="1">
        <v>1.905</v>
      </c>
      <c r="AA117" s="1">
        <v>1.6125</v>
      </c>
      <c r="AB117" s="1">
        <f t="shared" si="22"/>
        <v>1.75875</v>
      </c>
      <c r="AC117" s="1">
        <v>2.835</v>
      </c>
      <c r="AD117" s="1">
        <v>2.7825000000000002</v>
      </c>
      <c r="AE117" s="1">
        <f t="shared" si="23"/>
        <v>2.8087499999999999</v>
      </c>
      <c r="AF117" s="1">
        <f t="shared" si="23"/>
        <v>2.7956250000000002</v>
      </c>
      <c r="AG117" s="1">
        <v>20.9025</v>
      </c>
      <c r="AH117" s="1">
        <v>20.227499999999999</v>
      </c>
      <c r="AI117" s="1">
        <v>16.037500000000001</v>
      </c>
      <c r="AJ117" s="1">
        <v>6.5149999999999997</v>
      </c>
      <c r="AK117" s="3">
        <v>513</v>
      </c>
      <c r="AL117" s="3">
        <v>152</v>
      </c>
      <c r="AM117" s="3">
        <v>665</v>
      </c>
      <c r="AN117" s="3">
        <v>3050</v>
      </c>
      <c r="AO117" s="3">
        <v>1044</v>
      </c>
      <c r="AP117" s="3">
        <v>4094</v>
      </c>
      <c r="AQ117" s="3">
        <v>109443</v>
      </c>
      <c r="AR117" s="3">
        <v>30722</v>
      </c>
      <c r="AS117" s="3">
        <v>140165</v>
      </c>
      <c r="AT117">
        <v>152</v>
      </c>
      <c r="AU117">
        <v>45</v>
      </c>
      <c r="AV117">
        <v>197</v>
      </c>
      <c r="AW117">
        <v>1641</v>
      </c>
      <c r="AX117">
        <v>363</v>
      </c>
      <c r="AY117">
        <v>2004</v>
      </c>
      <c r="AZ117">
        <v>32795</v>
      </c>
      <c r="BA117">
        <v>9018</v>
      </c>
      <c r="BB117">
        <v>41813</v>
      </c>
    </row>
    <row r="118" spans="1:54" x14ac:dyDescent="0.25">
      <c r="A118" s="1" t="s">
        <v>39</v>
      </c>
      <c r="B118" s="1">
        <v>2023</v>
      </c>
      <c r="C118" s="1">
        <v>7.29</v>
      </c>
      <c r="D118" s="1">
        <v>12.22</v>
      </c>
      <c r="E118" s="1">
        <v>9.36</v>
      </c>
      <c r="F118" s="1">
        <v>22.25</v>
      </c>
      <c r="G118" s="1">
        <v>40.89</v>
      </c>
      <c r="H118" s="1">
        <v>7049</v>
      </c>
      <c r="I118" s="1">
        <v>7396</v>
      </c>
      <c r="J118" s="1">
        <v>256065</v>
      </c>
      <c r="K118" s="1">
        <v>99082</v>
      </c>
      <c r="L118" s="1">
        <v>3916907</v>
      </c>
      <c r="M118" s="1">
        <v>1393526</v>
      </c>
      <c r="N118" s="1">
        <f t="shared" si="24"/>
        <v>14445</v>
      </c>
      <c r="O118" s="1">
        <f t="shared" si="25"/>
        <v>355147</v>
      </c>
      <c r="P118" s="1">
        <f t="shared" si="26"/>
        <v>5310433</v>
      </c>
      <c r="Q118" s="1">
        <v>3739</v>
      </c>
      <c r="R118" s="1">
        <v>10513</v>
      </c>
      <c r="S118" s="1">
        <v>170310</v>
      </c>
      <c r="T118" s="1">
        <v>169405</v>
      </c>
      <c r="U118" s="1">
        <v>2412776</v>
      </c>
      <c r="V118" s="1">
        <v>2646827</v>
      </c>
      <c r="W118" s="1">
        <f t="shared" si="27"/>
        <v>14252</v>
      </c>
      <c r="X118" s="1">
        <f t="shared" si="28"/>
        <v>339715</v>
      </c>
      <c r="Y118" s="1">
        <f t="shared" si="29"/>
        <v>5059603</v>
      </c>
      <c r="Z118" s="1">
        <v>9.07</v>
      </c>
      <c r="AA118" s="1">
        <v>8.48</v>
      </c>
      <c r="AB118" s="1">
        <f t="shared" si="22"/>
        <v>8.7750000000000004</v>
      </c>
      <c r="AC118" s="1">
        <v>12.98</v>
      </c>
      <c r="AD118" s="1">
        <v>13.33</v>
      </c>
      <c r="AE118" s="1">
        <f t="shared" si="23"/>
        <v>13.155000000000001</v>
      </c>
      <c r="AF118" s="1">
        <f t="shared" si="23"/>
        <v>13.2425</v>
      </c>
      <c r="AG118" s="1">
        <v>99.16</v>
      </c>
      <c r="AH118" s="1">
        <v>96.1</v>
      </c>
      <c r="AI118" s="1">
        <v>73.42</v>
      </c>
      <c r="AJ118" s="1">
        <v>28.96</v>
      </c>
      <c r="AK118" s="3">
        <v>129436</v>
      </c>
      <c r="AL118" s="3">
        <v>19322</v>
      </c>
      <c r="AM118" s="3">
        <v>148758</v>
      </c>
      <c r="AN118" s="3">
        <v>1384806</v>
      </c>
      <c r="AO118" s="3">
        <v>235655</v>
      </c>
      <c r="AP118" s="3">
        <v>1620461</v>
      </c>
      <c r="AQ118" s="3">
        <v>20244837</v>
      </c>
      <c r="AR118" s="3">
        <v>3802085</v>
      </c>
      <c r="AS118" s="3">
        <v>24046922</v>
      </c>
      <c r="AT118">
        <v>23972</v>
      </c>
      <c r="AU118">
        <v>18576</v>
      </c>
      <c r="AV118">
        <v>42548</v>
      </c>
      <c r="AW118">
        <v>524221</v>
      </c>
      <c r="AX118">
        <v>191032</v>
      </c>
      <c r="AY118">
        <v>715253</v>
      </c>
      <c r="AZ118">
        <v>7233840</v>
      </c>
      <c r="BA118">
        <v>2726116</v>
      </c>
      <c r="BB118">
        <v>9959956</v>
      </c>
    </row>
    <row r="119" spans="1:54" ht="15.75" x14ac:dyDescent="0.25">
      <c r="A119" s="1" t="s">
        <v>1</v>
      </c>
      <c r="B119" s="1">
        <v>2024</v>
      </c>
      <c r="C119" s="1">
        <v>8.9849999999999994</v>
      </c>
      <c r="D119" s="1">
        <v>15.870000000000001</v>
      </c>
      <c r="E119" s="1">
        <v>13.435</v>
      </c>
      <c r="F119" s="1">
        <v>28.56</v>
      </c>
      <c r="G119" s="1">
        <v>39.83</v>
      </c>
      <c r="H119" s="1">
        <v>395</v>
      </c>
      <c r="I119" s="1">
        <v>148</v>
      </c>
      <c r="J119" s="1">
        <v>12829</v>
      </c>
      <c r="K119" s="1">
        <v>1473</v>
      </c>
      <c r="L119" s="1">
        <v>122127</v>
      </c>
      <c r="M119" s="1">
        <v>19563</v>
      </c>
      <c r="N119" s="1">
        <f t="shared" si="24"/>
        <v>543</v>
      </c>
      <c r="O119" s="1">
        <f t="shared" si="25"/>
        <v>14302</v>
      </c>
      <c r="P119" s="1">
        <f t="shared" si="26"/>
        <v>141690</v>
      </c>
      <c r="Q119" s="1">
        <v>154</v>
      </c>
      <c r="R119" s="1">
        <v>70</v>
      </c>
      <c r="S119" s="1">
        <v>6573</v>
      </c>
      <c r="T119" s="1">
        <v>726</v>
      </c>
      <c r="U119" s="1">
        <v>47064</v>
      </c>
      <c r="V119" s="1">
        <v>7659</v>
      </c>
      <c r="W119" s="1">
        <f t="shared" si="27"/>
        <v>224</v>
      </c>
      <c r="X119" s="1">
        <f t="shared" si="28"/>
        <v>7299</v>
      </c>
      <c r="Y119" s="1">
        <f t="shared" si="29"/>
        <v>54723</v>
      </c>
      <c r="Z119" s="1">
        <v>9.7799999999999994</v>
      </c>
      <c r="AA119" s="1">
        <v>9.49</v>
      </c>
      <c r="AB119" s="1">
        <f>(Z119+AA119)/2</f>
        <v>9.6349999999999998</v>
      </c>
      <c r="AC119" s="1">
        <v>14.3</v>
      </c>
      <c r="AD119" s="1">
        <v>14.62</v>
      </c>
      <c r="AE119" s="1">
        <f>(AC119+AD119)/2</f>
        <v>14.46</v>
      </c>
      <c r="AF119" s="1">
        <f>(AD119+AE119)/2</f>
        <v>14.54</v>
      </c>
      <c r="AG119" s="1">
        <v>99.42</v>
      </c>
      <c r="AH119" s="1">
        <v>97.77</v>
      </c>
      <c r="AI119" s="1">
        <v>81.55</v>
      </c>
      <c r="AJ119" s="1">
        <v>34.81</v>
      </c>
      <c r="AK119" s="1">
        <v>3336</v>
      </c>
      <c r="AL119" s="1">
        <v>207</v>
      </c>
      <c r="AM119" s="1">
        <v>3543</v>
      </c>
      <c r="AN119" s="1">
        <v>47184</v>
      </c>
      <c r="AO119" s="1">
        <v>2809</v>
      </c>
      <c r="AP119" s="1">
        <v>49993</v>
      </c>
      <c r="AQ119" s="1">
        <v>453928</v>
      </c>
      <c r="AR119" s="1">
        <v>40154</v>
      </c>
      <c r="AS119" s="1">
        <v>494082</v>
      </c>
      <c r="AT119" s="5">
        <v>906</v>
      </c>
      <c r="AU119" s="5">
        <v>422</v>
      </c>
      <c r="AV119" s="5">
        <v>1328</v>
      </c>
      <c r="AW119" s="5">
        <v>20396</v>
      </c>
      <c r="AX119" s="5">
        <v>3932</v>
      </c>
      <c r="AY119" s="5">
        <v>24328</v>
      </c>
      <c r="AZ119" s="5">
        <v>158212</v>
      </c>
      <c r="BA119" s="5">
        <v>49752</v>
      </c>
      <c r="BB119" s="5">
        <v>207964</v>
      </c>
    </row>
    <row r="120" spans="1:54" ht="15.75" x14ac:dyDescent="0.25">
      <c r="A120" s="1" t="s">
        <v>2</v>
      </c>
      <c r="B120" s="1">
        <v>2024</v>
      </c>
      <c r="C120" s="1">
        <v>7.47</v>
      </c>
      <c r="D120" s="1">
        <v>7.76</v>
      </c>
      <c r="E120" s="1">
        <v>7.59</v>
      </c>
      <c r="F120" s="1">
        <v>19.78</v>
      </c>
      <c r="G120" s="1">
        <v>42.65</v>
      </c>
      <c r="H120" s="1">
        <v>438</v>
      </c>
      <c r="I120" s="1">
        <v>637</v>
      </c>
      <c r="J120" s="1">
        <v>16545</v>
      </c>
      <c r="K120" s="1">
        <v>8117</v>
      </c>
      <c r="L120" s="1">
        <v>252462</v>
      </c>
      <c r="M120" s="1">
        <v>141731</v>
      </c>
      <c r="N120" s="1">
        <f t="shared" si="24"/>
        <v>1075</v>
      </c>
      <c r="O120" s="1">
        <f t="shared" si="25"/>
        <v>24662</v>
      </c>
      <c r="P120" s="1">
        <f t="shared" si="26"/>
        <v>394193</v>
      </c>
      <c r="Q120" s="1">
        <v>279</v>
      </c>
      <c r="R120" s="1">
        <v>674</v>
      </c>
      <c r="S120" s="1">
        <v>11212</v>
      </c>
      <c r="T120" s="1">
        <v>9749</v>
      </c>
      <c r="U120" s="1">
        <v>137491</v>
      </c>
      <c r="V120" s="1">
        <v>156825</v>
      </c>
      <c r="W120" s="1">
        <f t="shared" si="27"/>
        <v>953</v>
      </c>
      <c r="X120" s="1">
        <f t="shared" si="28"/>
        <v>20961</v>
      </c>
      <c r="Y120" s="1">
        <f t="shared" si="29"/>
        <v>294316</v>
      </c>
      <c r="Z120" s="1">
        <v>10.09</v>
      </c>
      <c r="AA120" s="1">
        <v>9.77</v>
      </c>
      <c r="AB120" s="1">
        <f t="shared" ref="AB120:AB157" si="30">(Z120+AA120)/2</f>
        <v>9.93</v>
      </c>
      <c r="AC120" s="1">
        <v>13.27</v>
      </c>
      <c r="AD120" s="1">
        <v>13.74</v>
      </c>
      <c r="AE120" s="1">
        <f t="shared" ref="AE120:AF157" si="31">(AC120+AD120)/2</f>
        <v>13.504999999999999</v>
      </c>
      <c r="AF120" s="1">
        <f t="shared" si="31"/>
        <v>13.622499999999999</v>
      </c>
      <c r="AG120" s="1">
        <v>99.5</v>
      </c>
      <c r="AH120" s="1">
        <v>97.35</v>
      </c>
      <c r="AI120" s="1">
        <v>78.59</v>
      </c>
      <c r="AJ120" s="1">
        <v>30.22</v>
      </c>
      <c r="AK120" s="1">
        <v>8116</v>
      </c>
      <c r="AL120" s="1">
        <v>1631</v>
      </c>
      <c r="AM120" s="1">
        <v>9747</v>
      </c>
      <c r="AN120" s="1">
        <v>93958</v>
      </c>
      <c r="AO120" s="1">
        <v>19337</v>
      </c>
      <c r="AP120" s="1">
        <v>113295</v>
      </c>
      <c r="AQ120" s="1">
        <v>1149616</v>
      </c>
      <c r="AR120" s="1">
        <v>346857</v>
      </c>
      <c r="AS120" s="1">
        <v>1496473</v>
      </c>
      <c r="AT120" s="5">
        <v>1340</v>
      </c>
      <c r="AU120" s="5">
        <v>1369</v>
      </c>
      <c r="AV120" s="5">
        <v>2709</v>
      </c>
      <c r="AW120" s="5">
        <v>32531</v>
      </c>
      <c r="AX120" s="5">
        <v>13340</v>
      </c>
      <c r="AY120" s="5">
        <v>45871</v>
      </c>
      <c r="AZ120" s="5">
        <v>414206</v>
      </c>
      <c r="BA120" s="5">
        <v>210929</v>
      </c>
      <c r="BB120" s="5">
        <v>625135</v>
      </c>
    </row>
    <row r="121" spans="1:54" ht="15.75" x14ac:dyDescent="0.25">
      <c r="A121" s="1" t="s">
        <v>3</v>
      </c>
      <c r="B121" s="1">
        <v>2024</v>
      </c>
      <c r="C121" s="1">
        <v>4.4399999999999995</v>
      </c>
      <c r="D121" s="1">
        <v>7.0350000000000001</v>
      </c>
      <c r="E121" s="1">
        <v>5.6950000000000003</v>
      </c>
      <c r="F121" s="1">
        <v>21.31</v>
      </c>
      <c r="G121" s="1">
        <v>37.450000000000003</v>
      </c>
      <c r="H121" s="1">
        <v>238</v>
      </c>
      <c r="I121" s="1">
        <v>107</v>
      </c>
      <c r="J121" s="1">
        <v>9653</v>
      </c>
      <c r="K121" s="1">
        <v>1240</v>
      </c>
      <c r="L121" s="1">
        <v>142600</v>
      </c>
      <c r="M121" s="1">
        <v>14673</v>
      </c>
      <c r="N121" s="1">
        <f t="shared" si="24"/>
        <v>345</v>
      </c>
      <c r="O121" s="1">
        <f t="shared" si="25"/>
        <v>10893</v>
      </c>
      <c r="P121" s="1">
        <f t="shared" si="26"/>
        <v>157273</v>
      </c>
      <c r="Q121" s="1">
        <v>116</v>
      </c>
      <c r="R121" s="1">
        <v>100</v>
      </c>
      <c r="S121" s="1">
        <v>5893</v>
      </c>
      <c r="T121" s="1">
        <v>1260</v>
      </c>
      <c r="U121" s="1">
        <v>73840</v>
      </c>
      <c r="V121" s="1">
        <v>11779</v>
      </c>
      <c r="W121" s="1">
        <f t="shared" si="27"/>
        <v>216</v>
      </c>
      <c r="X121" s="1">
        <f t="shared" si="28"/>
        <v>7153</v>
      </c>
      <c r="Y121" s="1">
        <f t="shared" si="29"/>
        <v>85619</v>
      </c>
      <c r="Z121" s="1">
        <v>9.36</v>
      </c>
      <c r="AA121" s="1">
        <v>9.5299999999999994</v>
      </c>
      <c r="AB121" s="1">
        <f t="shared" si="30"/>
        <v>9.4450000000000003</v>
      </c>
      <c r="AC121" s="1">
        <v>13.81</v>
      </c>
      <c r="AD121" s="1">
        <v>14.86</v>
      </c>
      <c r="AE121" s="1">
        <f t="shared" si="31"/>
        <v>14.335000000000001</v>
      </c>
      <c r="AF121" s="1">
        <f t="shared" si="31"/>
        <v>14.5975</v>
      </c>
      <c r="AG121" s="1">
        <v>99.71</v>
      </c>
      <c r="AH121" s="1">
        <v>96.8</v>
      </c>
      <c r="AI121" s="1">
        <v>84.4</v>
      </c>
      <c r="AJ121" s="1">
        <v>42.75</v>
      </c>
      <c r="AK121" s="1">
        <v>3892</v>
      </c>
      <c r="AL121" s="1">
        <v>327</v>
      </c>
      <c r="AM121" s="1">
        <v>4219</v>
      </c>
      <c r="AN121" s="1">
        <v>44375</v>
      </c>
      <c r="AO121" s="1">
        <v>4926</v>
      </c>
      <c r="AP121" s="1">
        <v>49301</v>
      </c>
      <c r="AQ121" s="1">
        <v>512533</v>
      </c>
      <c r="AR121" s="1">
        <v>73064</v>
      </c>
      <c r="AS121" s="1">
        <v>585597</v>
      </c>
      <c r="AT121" s="5">
        <v>676</v>
      </c>
      <c r="AU121" s="5">
        <v>189</v>
      </c>
      <c r="AV121" s="5">
        <v>865</v>
      </c>
      <c r="AW121" s="5">
        <v>15899</v>
      </c>
      <c r="AX121" s="5">
        <v>2247</v>
      </c>
      <c r="AY121" s="5">
        <v>18146</v>
      </c>
      <c r="AZ121" s="5">
        <v>180460</v>
      </c>
      <c r="BA121" s="5">
        <v>23754</v>
      </c>
      <c r="BB121" s="5">
        <v>204214</v>
      </c>
    </row>
    <row r="122" spans="1:54" ht="15.75" x14ac:dyDescent="0.25">
      <c r="A122" s="1" t="s">
        <v>4</v>
      </c>
      <c r="B122" s="1">
        <v>2024</v>
      </c>
      <c r="C122" s="1">
        <v>6.4350000000000005</v>
      </c>
      <c r="D122" s="1">
        <v>6.5649999999999995</v>
      </c>
      <c r="E122" s="1">
        <v>6.5150000000000006</v>
      </c>
      <c r="F122" s="1">
        <v>21.79</v>
      </c>
      <c r="G122" s="1">
        <v>49.93</v>
      </c>
      <c r="H122" s="1">
        <v>321</v>
      </c>
      <c r="I122" s="1">
        <v>160</v>
      </c>
      <c r="J122" s="1">
        <v>10597</v>
      </c>
      <c r="K122" s="1">
        <v>2074</v>
      </c>
      <c r="L122" s="1">
        <v>154469</v>
      </c>
      <c r="M122" s="1">
        <v>25232</v>
      </c>
      <c r="N122" s="1">
        <f t="shared" si="24"/>
        <v>481</v>
      </c>
      <c r="O122" s="1">
        <f t="shared" si="25"/>
        <v>12671</v>
      </c>
      <c r="P122" s="1">
        <f t="shared" si="26"/>
        <v>179701</v>
      </c>
      <c r="Q122" s="1">
        <v>139</v>
      </c>
      <c r="R122" s="1">
        <v>171</v>
      </c>
      <c r="S122" s="1">
        <v>5601</v>
      </c>
      <c r="T122" s="1">
        <v>2953</v>
      </c>
      <c r="U122" s="1">
        <v>71023</v>
      </c>
      <c r="V122" s="1">
        <v>35646</v>
      </c>
      <c r="W122" s="1">
        <f t="shared" si="27"/>
        <v>310</v>
      </c>
      <c r="X122" s="1">
        <f t="shared" si="28"/>
        <v>8554</v>
      </c>
      <c r="Y122" s="1">
        <f t="shared" si="29"/>
        <v>106669</v>
      </c>
      <c r="Z122" s="1">
        <v>9.5299999999999994</v>
      </c>
      <c r="AA122" s="1">
        <v>9.32</v>
      </c>
      <c r="AB122" s="1">
        <f t="shared" si="30"/>
        <v>9.4250000000000007</v>
      </c>
      <c r="AC122" s="1">
        <v>13.24</v>
      </c>
      <c r="AD122" s="1">
        <v>13.7</v>
      </c>
      <c r="AE122" s="1">
        <f t="shared" si="31"/>
        <v>13.469999999999999</v>
      </c>
      <c r="AF122" s="1">
        <f t="shared" si="31"/>
        <v>13.584999999999999</v>
      </c>
      <c r="AG122" s="1">
        <v>99.67</v>
      </c>
      <c r="AH122" s="1">
        <v>95.94</v>
      </c>
      <c r="AI122" s="1">
        <v>78.489999999999995</v>
      </c>
      <c r="AJ122" s="1">
        <v>31.34</v>
      </c>
      <c r="AK122" s="1">
        <v>3232</v>
      </c>
      <c r="AL122" s="1">
        <v>605</v>
      </c>
      <c r="AM122" s="1">
        <v>3837</v>
      </c>
      <c r="AN122" s="1">
        <v>45182</v>
      </c>
      <c r="AO122" s="1">
        <v>9177</v>
      </c>
      <c r="AP122" s="1">
        <v>54359</v>
      </c>
      <c r="AQ122" s="1">
        <v>626689</v>
      </c>
      <c r="AR122" s="1">
        <v>146184</v>
      </c>
      <c r="AS122" s="1">
        <v>772873</v>
      </c>
      <c r="AT122" s="5">
        <v>889</v>
      </c>
      <c r="AU122" s="5">
        <v>420</v>
      </c>
      <c r="AV122" s="5">
        <v>1309</v>
      </c>
      <c r="AW122" s="5">
        <v>17399</v>
      </c>
      <c r="AX122" s="5">
        <v>4517</v>
      </c>
      <c r="AY122" s="5">
        <v>21916</v>
      </c>
      <c r="AZ122" s="5">
        <v>210790</v>
      </c>
      <c r="BA122" s="5">
        <v>58348</v>
      </c>
      <c r="BB122" s="5">
        <v>269138</v>
      </c>
    </row>
    <row r="123" spans="1:54" ht="15.75" x14ac:dyDescent="0.25">
      <c r="A123" s="1" t="s">
        <v>5</v>
      </c>
      <c r="B123" s="1">
        <v>2024</v>
      </c>
      <c r="C123" s="1">
        <v>9.5500000000000007</v>
      </c>
      <c r="D123" s="1">
        <v>5.99</v>
      </c>
      <c r="E123" s="1">
        <v>7.18</v>
      </c>
      <c r="F123" s="1">
        <v>20.71</v>
      </c>
      <c r="G123" s="1">
        <v>41.65</v>
      </c>
      <c r="H123" s="1">
        <v>163</v>
      </c>
      <c r="I123" s="1">
        <v>89</v>
      </c>
      <c r="J123" s="1">
        <v>5197</v>
      </c>
      <c r="K123" s="1">
        <v>794</v>
      </c>
      <c r="L123" s="1">
        <v>73129</v>
      </c>
      <c r="M123" s="1">
        <v>10765</v>
      </c>
      <c r="N123" s="1">
        <f t="shared" si="24"/>
        <v>252</v>
      </c>
      <c r="O123" s="1">
        <f t="shared" si="25"/>
        <v>5991</v>
      </c>
      <c r="P123" s="1">
        <f t="shared" si="26"/>
        <v>83894</v>
      </c>
      <c r="Q123" s="1">
        <v>108</v>
      </c>
      <c r="R123" s="1">
        <v>75</v>
      </c>
      <c r="S123" s="1">
        <v>3528</v>
      </c>
      <c r="T123" s="1">
        <v>896</v>
      </c>
      <c r="U123" s="1">
        <v>37809</v>
      </c>
      <c r="V123" s="1">
        <v>10550</v>
      </c>
      <c r="W123" s="1">
        <f t="shared" si="27"/>
        <v>183</v>
      </c>
      <c r="X123" s="1">
        <f t="shared" si="28"/>
        <v>4424</v>
      </c>
      <c r="Y123" s="1">
        <f t="shared" si="29"/>
        <v>48359</v>
      </c>
      <c r="Z123" s="1">
        <v>9.19</v>
      </c>
      <c r="AA123" s="1">
        <v>8.6</v>
      </c>
      <c r="AB123" s="1">
        <f t="shared" si="30"/>
        <v>8.8949999999999996</v>
      </c>
      <c r="AC123" s="1">
        <v>12.99</v>
      </c>
      <c r="AD123" s="1">
        <v>13.48</v>
      </c>
      <c r="AE123" s="1">
        <f t="shared" si="31"/>
        <v>13.234999999999999</v>
      </c>
      <c r="AF123" s="1">
        <f t="shared" si="31"/>
        <v>13.3575</v>
      </c>
      <c r="AG123" s="1">
        <v>99.61</v>
      </c>
      <c r="AH123" s="1">
        <v>96.25</v>
      </c>
      <c r="AI123" s="1">
        <v>71.97</v>
      </c>
      <c r="AJ123" s="1">
        <v>25.85</v>
      </c>
      <c r="AK123" s="1">
        <v>2302</v>
      </c>
      <c r="AL123" s="1">
        <v>172</v>
      </c>
      <c r="AM123" s="1">
        <v>2474</v>
      </c>
      <c r="AN123" s="1">
        <v>26885</v>
      </c>
      <c r="AO123" s="1">
        <v>2203</v>
      </c>
      <c r="AP123" s="1">
        <v>29088</v>
      </c>
      <c r="AQ123" s="1">
        <v>331425</v>
      </c>
      <c r="AR123" s="1">
        <v>36401</v>
      </c>
      <c r="AS123" s="1">
        <v>367826</v>
      </c>
      <c r="AT123" s="5">
        <v>559</v>
      </c>
      <c r="AU123" s="5">
        <v>161</v>
      </c>
      <c r="AV123" s="5">
        <v>720</v>
      </c>
      <c r="AW123" s="5">
        <v>10143</v>
      </c>
      <c r="AX123" s="5">
        <v>1521</v>
      </c>
      <c r="AY123" s="5">
        <v>11664</v>
      </c>
      <c r="AZ123" s="5">
        <v>100620</v>
      </c>
      <c r="BA123" s="5">
        <v>21189</v>
      </c>
      <c r="BB123" s="5">
        <v>121809</v>
      </c>
    </row>
    <row r="124" spans="1:54" ht="15.75" x14ac:dyDescent="0.25">
      <c r="A124" s="1" t="s">
        <v>6</v>
      </c>
      <c r="B124" s="1">
        <v>2024</v>
      </c>
      <c r="C124" s="1">
        <v>9.5299999999999994</v>
      </c>
      <c r="D124" s="1">
        <v>11.48</v>
      </c>
      <c r="E124" s="1">
        <v>10.74</v>
      </c>
      <c r="F124" s="1">
        <v>23.36</v>
      </c>
      <c r="G124" s="1">
        <v>37.659999999999997</v>
      </c>
      <c r="H124" s="1">
        <v>330</v>
      </c>
      <c r="I124" s="1">
        <v>290</v>
      </c>
      <c r="J124" s="1">
        <v>12140</v>
      </c>
      <c r="K124" s="1">
        <v>3335</v>
      </c>
      <c r="L124" s="1">
        <v>173505</v>
      </c>
      <c r="M124" s="1">
        <v>51402</v>
      </c>
      <c r="N124" s="1">
        <f t="shared" si="24"/>
        <v>620</v>
      </c>
      <c r="O124" s="1">
        <f t="shared" si="25"/>
        <v>15475</v>
      </c>
      <c r="P124" s="1">
        <f t="shared" si="26"/>
        <v>224907</v>
      </c>
      <c r="Q124" s="1">
        <v>121</v>
      </c>
      <c r="R124" s="1">
        <v>194</v>
      </c>
      <c r="S124" s="1">
        <v>5931</v>
      </c>
      <c r="T124" s="1">
        <v>2910</v>
      </c>
      <c r="U124" s="1">
        <v>80225</v>
      </c>
      <c r="V124" s="1">
        <v>47328</v>
      </c>
      <c r="W124" s="1">
        <f t="shared" si="27"/>
        <v>315</v>
      </c>
      <c r="X124" s="1">
        <f t="shared" si="28"/>
        <v>8841</v>
      </c>
      <c r="Y124" s="1">
        <f t="shared" si="29"/>
        <v>127553</v>
      </c>
      <c r="Z124" s="1">
        <v>8.7799999999999994</v>
      </c>
      <c r="AA124" s="1">
        <v>8.35</v>
      </c>
      <c r="AB124" s="1">
        <f t="shared" si="30"/>
        <v>8.5649999999999995</v>
      </c>
      <c r="AC124" s="1">
        <v>12.55</v>
      </c>
      <c r="AD124" s="1">
        <v>12.94</v>
      </c>
      <c r="AE124" s="1">
        <f t="shared" si="31"/>
        <v>12.745000000000001</v>
      </c>
      <c r="AF124" s="1">
        <f t="shared" si="31"/>
        <v>12.842500000000001</v>
      </c>
      <c r="AG124" s="1">
        <v>99.39</v>
      </c>
      <c r="AH124" s="1">
        <v>95.45</v>
      </c>
      <c r="AI124" s="1">
        <v>70.8</v>
      </c>
      <c r="AJ124" s="1">
        <v>20.11</v>
      </c>
      <c r="AK124" s="1">
        <v>4250</v>
      </c>
      <c r="AL124" s="1">
        <v>489</v>
      </c>
      <c r="AM124" s="1">
        <v>4739</v>
      </c>
      <c r="AN124" s="1">
        <v>55364</v>
      </c>
      <c r="AO124" s="1">
        <v>6082</v>
      </c>
      <c r="AP124" s="1">
        <v>61446</v>
      </c>
      <c r="AQ124" s="1">
        <v>790920</v>
      </c>
      <c r="AR124" s="1">
        <v>92261</v>
      </c>
      <c r="AS124" s="1">
        <v>883181</v>
      </c>
      <c r="AT124" s="5">
        <v>905</v>
      </c>
      <c r="AU124" s="5">
        <v>558</v>
      </c>
      <c r="AV124" s="5">
        <v>1463</v>
      </c>
      <c r="AW124" s="5">
        <v>21357</v>
      </c>
      <c r="AX124" s="5">
        <v>4957</v>
      </c>
      <c r="AY124" s="5">
        <v>26314</v>
      </c>
      <c r="AZ124" s="5">
        <v>290936</v>
      </c>
      <c r="BA124" s="5">
        <v>68346</v>
      </c>
      <c r="BB124" s="5">
        <v>359282</v>
      </c>
    </row>
    <row r="125" spans="1:54" ht="15.75" x14ac:dyDescent="0.25">
      <c r="A125" s="1" t="s">
        <v>7</v>
      </c>
      <c r="B125" s="1">
        <v>2024</v>
      </c>
      <c r="C125" s="1">
        <v>12.940000000000001</v>
      </c>
      <c r="D125" s="1">
        <v>13.095000000000001</v>
      </c>
      <c r="E125" s="1">
        <v>13.04</v>
      </c>
      <c r="F125" s="1">
        <v>20.92</v>
      </c>
      <c r="G125" s="1">
        <v>33.99</v>
      </c>
      <c r="H125" s="1">
        <v>110</v>
      </c>
      <c r="I125" s="1">
        <v>43</v>
      </c>
      <c r="J125" s="1">
        <v>4073</v>
      </c>
      <c r="K125" s="1">
        <v>333</v>
      </c>
      <c r="L125" s="1">
        <v>53559</v>
      </c>
      <c r="M125" s="1">
        <v>2936</v>
      </c>
      <c r="N125" s="1">
        <f t="shared" si="24"/>
        <v>153</v>
      </c>
      <c r="O125" s="1">
        <f t="shared" si="25"/>
        <v>4406</v>
      </c>
      <c r="P125" s="1">
        <f t="shared" si="26"/>
        <v>56495</v>
      </c>
      <c r="Q125" s="1">
        <v>65</v>
      </c>
      <c r="R125" s="1">
        <v>38</v>
      </c>
      <c r="S125" s="1">
        <v>2656</v>
      </c>
      <c r="T125" s="1">
        <v>385</v>
      </c>
      <c r="U125" s="1">
        <v>24368</v>
      </c>
      <c r="V125" s="1">
        <v>3207</v>
      </c>
      <c r="W125" s="1">
        <f t="shared" si="27"/>
        <v>103</v>
      </c>
      <c r="X125" s="1">
        <f t="shared" si="28"/>
        <v>3041</v>
      </c>
      <c r="Y125" s="1">
        <f t="shared" si="29"/>
        <v>27575</v>
      </c>
      <c r="Z125" s="1">
        <v>9.2799999999999994</v>
      </c>
      <c r="AA125" s="1">
        <v>8.81</v>
      </c>
      <c r="AB125" s="1">
        <f t="shared" si="30"/>
        <v>9.0449999999999999</v>
      </c>
      <c r="AC125" s="1">
        <v>13.7</v>
      </c>
      <c r="AD125" s="1">
        <v>14.14</v>
      </c>
      <c r="AE125" s="1">
        <f t="shared" si="31"/>
        <v>13.92</v>
      </c>
      <c r="AF125" s="1">
        <f t="shared" si="31"/>
        <v>14.030000000000001</v>
      </c>
      <c r="AG125" s="1">
        <v>99.51</v>
      </c>
      <c r="AH125" s="1">
        <v>97.93</v>
      </c>
      <c r="AI125" s="1">
        <v>79.069999999999993</v>
      </c>
      <c r="AJ125" s="1">
        <v>35.130000000000003</v>
      </c>
      <c r="AK125" s="1">
        <v>1289</v>
      </c>
      <c r="AL125" s="1">
        <v>119</v>
      </c>
      <c r="AM125" s="1">
        <v>1408</v>
      </c>
      <c r="AN125" s="1">
        <v>15928</v>
      </c>
      <c r="AO125" s="1">
        <v>1769</v>
      </c>
      <c r="AP125" s="1">
        <v>17697</v>
      </c>
      <c r="AQ125" s="1">
        <v>171467</v>
      </c>
      <c r="AR125" s="1">
        <v>23246</v>
      </c>
      <c r="AS125" s="1">
        <v>194713</v>
      </c>
      <c r="AT125" s="5">
        <v>380</v>
      </c>
      <c r="AU125" s="5">
        <v>80</v>
      </c>
      <c r="AV125" s="5">
        <v>460</v>
      </c>
      <c r="AW125" s="5">
        <v>7980</v>
      </c>
      <c r="AX125" s="5">
        <v>814</v>
      </c>
      <c r="AY125" s="5">
        <v>8794</v>
      </c>
      <c r="AZ125" s="5">
        <v>76752</v>
      </c>
      <c r="BA125" s="5">
        <v>8799</v>
      </c>
      <c r="BB125" s="5">
        <v>85551</v>
      </c>
    </row>
    <row r="126" spans="1:54" ht="15.75" x14ac:dyDescent="0.25">
      <c r="A126" s="1" t="s">
        <v>8</v>
      </c>
      <c r="B126" s="1">
        <v>2024</v>
      </c>
      <c r="C126" s="1">
        <v>8.0449999999999999</v>
      </c>
      <c r="D126" s="1">
        <v>12.004999999999999</v>
      </c>
      <c r="E126" s="1">
        <v>10.654999999999999</v>
      </c>
      <c r="F126" s="1">
        <v>22.53</v>
      </c>
      <c r="G126" s="1">
        <v>30.86</v>
      </c>
      <c r="H126" s="1">
        <v>240</v>
      </c>
      <c r="I126" s="1">
        <v>298</v>
      </c>
      <c r="J126" s="1">
        <v>9322</v>
      </c>
      <c r="K126" s="1">
        <v>3202</v>
      </c>
      <c r="L126" s="1">
        <v>133517</v>
      </c>
      <c r="M126" s="1">
        <v>48197</v>
      </c>
      <c r="N126" s="1">
        <f t="shared" si="24"/>
        <v>538</v>
      </c>
      <c r="O126" s="1">
        <f t="shared" si="25"/>
        <v>12524</v>
      </c>
      <c r="P126" s="1">
        <f t="shared" si="26"/>
        <v>181714</v>
      </c>
      <c r="Q126" s="1">
        <v>112</v>
      </c>
      <c r="R126" s="1">
        <v>380</v>
      </c>
      <c r="S126" s="1">
        <v>5488</v>
      </c>
      <c r="T126" s="1">
        <v>5181</v>
      </c>
      <c r="U126" s="1">
        <v>71535</v>
      </c>
      <c r="V126" s="1">
        <v>82617</v>
      </c>
      <c r="W126" s="1">
        <f t="shared" si="27"/>
        <v>492</v>
      </c>
      <c r="X126" s="1">
        <f t="shared" si="28"/>
        <v>10669</v>
      </c>
      <c r="Y126" s="1">
        <f t="shared" si="29"/>
        <v>154152</v>
      </c>
      <c r="Z126" s="1">
        <v>8.6199999999999992</v>
      </c>
      <c r="AA126" s="1">
        <v>8.08</v>
      </c>
      <c r="AB126" s="1">
        <f t="shared" si="30"/>
        <v>8.35</v>
      </c>
      <c r="AC126" s="1">
        <v>12.69</v>
      </c>
      <c r="AD126" s="1">
        <v>13.02</v>
      </c>
      <c r="AE126" s="1">
        <f t="shared" si="31"/>
        <v>12.855</v>
      </c>
      <c r="AF126" s="1">
        <f t="shared" si="31"/>
        <v>12.9375</v>
      </c>
      <c r="AG126" s="1">
        <v>99.5</v>
      </c>
      <c r="AH126" s="1">
        <v>96.07</v>
      </c>
      <c r="AI126" s="1">
        <v>72.349999999999994</v>
      </c>
      <c r="AJ126" s="1">
        <v>22.53</v>
      </c>
      <c r="AK126" s="1">
        <v>4295</v>
      </c>
      <c r="AL126" s="1">
        <v>447</v>
      </c>
      <c r="AM126" s="1">
        <v>4742</v>
      </c>
      <c r="AN126" s="1">
        <v>51992</v>
      </c>
      <c r="AO126" s="1">
        <v>5662</v>
      </c>
      <c r="AP126" s="1">
        <v>57654</v>
      </c>
      <c r="AQ126" s="1">
        <v>711692</v>
      </c>
      <c r="AR126" s="1">
        <v>86276</v>
      </c>
      <c r="AS126" s="1">
        <v>797968</v>
      </c>
      <c r="AT126" s="5">
        <v>710</v>
      </c>
      <c r="AU126" s="5">
        <v>773</v>
      </c>
      <c r="AV126" s="5">
        <v>1483</v>
      </c>
      <c r="AW126" s="5">
        <v>17269</v>
      </c>
      <c r="AX126" s="5">
        <v>7067</v>
      </c>
      <c r="AY126" s="5">
        <v>24336</v>
      </c>
      <c r="AZ126" s="5">
        <v>246512</v>
      </c>
      <c r="BA126" s="5">
        <v>96309</v>
      </c>
      <c r="BB126" s="5">
        <v>342821</v>
      </c>
    </row>
    <row r="127" spans="1:54" ht="15.75" x14ac:dyDescent="0.25">
      <c r="A127" s="1" t="s">
        <v>9</v>
      </c>
      <c r="B127" s="1">
        <v>2024</v>
      </c>
      <c r="C127" s="1">
        <v>3.74</v>
      </c>
      <c r="D127" s="1">
        <v>6.33</v>
      </c>
      <c r="E127" s="1">
        <v>4.8149999999999995</v>
      </c>
      <c r="F127" s="1">
        <v>21.26</v>
      </c>
      <c r="G127" s="1">
        <v>48.86</v>
      </c>
      <c r="H127" s="1">
        <v>47</v>
      </c>
      <c r="I127" s="1">
        <v>30</v>
      </c>
      <c r="J127" s="1">
        <v>1534</v>
      </c>
      <c r="K127" s="1">
        <v>371</v>
      </c>
      <c r="L127" s="1">
        <v>28276</v>
      </c>
      <c r="M127" s="1">
        <v>4992</v>
      </c>
      <c r="N127" s="1">
        <f t="shared" si="24"/>
        <v>77</v>
      </c>
      <c r="O127" s="1">
        <f t="shared" si="25"/>
        <v>1905</v>
      </c>
      <c r="P127" s="1">
        <f t="shared" si="26"/>
        <v>33268</v>
      </c>
      <c r="Q127" s="1">
        <v>36</v>
      </c>
      <c r="R127" s="1">
        <v>23</v>
      </c>
      <c r="S127" s="1">
        <v>1352</v>
      </c>
      <c r="T127" s="1">
        <v>364</v>
      </c>
      <c r="U127" s="1">
        <v>19604</v>
      </c>
      <c r="V127" s="1">
        <v>5175</v>
      </c>
      <c r="W127" s="1">
        <f t="shared" si="27"/>
        <v>59</v>
      </c>
      <c r="X127" s="1">
        <f t="shared" si="28"/>
        <v>1716</v>
      </c>
      <c r="Y127" s="1">
        <f t="shared" si="29"/>
        <v>24779</v>
      </c>
      <c r="Z127" s="1">
        <v>8.5299999999999994</v>
      </c>
      <c r="AA127" s="1">
        <v>8.19</v>
      </c>
      <c r="AB127" s="1">
        <f t="shared" si="30"/>
        <v>8.36</v>
      </c>
      <c r="AC127" s="1">
        <v>12.26</v>
      </c>
      <c r="AD127" s="1">
        <v>12.62</v>
      </c>
      <c r="AE127" s="1">
        <f t="shared" si="31"/>
        <v>12.44</v>
      </c>
      <c r="AF127" s="1">
        <f t="shared" si="31"/>
        <v>12.53</v>
      </c>
      <c r="AG127" s="1">
        <v>99.66</v>
      </c>
      <c r="AH127" s="1">
        <v>93.52</v>
      </c>
      <c r="AI127" s="1">
        <v>72.69</v>
      </c>
      <c r="AJ127" s="1">
        <v>19.739999999999998</v>
      </c>
      <c r="AK127" s="1">
        <v>761</v>
      </c>
      <c r="AL127" s="1">
        <v>71</v>
      </c>
      <c r="AM127" s="1">
        <v>832</v>
      </c>
      <c r="AN127" s="1">
        <v>8816</v>
      </c>
      <c r="AO127" s="1">
        <v>1008</v>
      </c>
      <c r="AP127" s="1">
        <v>9824</v>
      </c>
      <c r="AQ127" s="1">
        <v>142879</v>
      </c>
      <c r="AR127" s="1">
        <v>16775</v>
      </c>
      <c r="AS127" s="1">
        <v>159654</v>
      </c>
      <c r="AT127" s="5">
        <v>164</v>
      </c>
      <c r="AU127" s="5">
        <v>74</v>
      </c>
      <c r="AV127" s="5">
        <v>238</v>
      </c>
      <c r="AW127" s="5">
        <v>3208</v>
      </c>
      <c r="AX127" s="5">
        <v>695</v>
      </c>
      <c r="AY127" s="5">
        <v>3903</v>
      </c>
      <c r="AZ127" s="5">
        <v>55038</v>
      </c>
      <c r="BA127" s="5">
        <v>9733</v>
      </c>
      <c r="BB127" s="5">
        <v>64771</v>
      </c>
    </row>
    <row r="128" spans="1:54" ht="15.75" x14ac:dyDescent="0.25">
      <c r="A128" s="1" t="s">
        <v>10</v>
      </c>
      <c r="B128" s="1">
        <v>2024</v>
      </c>
      <c r="C128" s="1">
        <v>4.6050000000000004</v>
      </c>
      <c r="D128" s="1">
        <v>9.245000000000001</v>
      </c>
      <c r="E128" s="1">
        <v>5.0750000000000002</v>
      </c>
      <c r="F128" s="1">
        <v>14.52</v>
      </c>
      <c r="G128" s="1">
        <v>68.45</v>
      </c>
      <c r="H128" s="1">
        <v>96</v>
      </c>
      <c r="I128" s="1">
        <v>82</v>
      </c>
      <c r="J128" s="1">
        <v>3115</v>
      </c>
      <c r="K128" s="1">
        <v>811</v>
      </c>
      <c r="L128" s="1">
        <v>50817</v>
      </c>
      <c r="M128" s="1">
        <v>8945</v>
      </c>
      <c r="N128" s="1">
        <f t="shared" si="24"/>
        <v>178</v>
      </c>
      <c r="O128" s="1">
        <f t="shared" si="25"/>
        <v>3926</v>
      </c>
      <c r="P128" s="1">
        <f t="shared" si="26"/>
        <v>59762</v>
      </c>
      <c r="Q128" s="1">
        <v>38</v>
      </c>
      <c r="R128" s="1">
        <v>68</v>
      </c>
      <c r="S128" s="1">
        <v>1811</v>
      </c>
      <c r="T128" s="1">
        <v>769</v>
      </c>
      <c r="U128" s="1">
        <v>30822</v>
      </c>
      <c r="V128" s="1">
        <v>9067</v>
      </c>
      <c r="W128" s="1">
        <f t="shared" si="27"/>
        <v>106</v>
      </c>
      <c r="X128" s="1">
        <f t="shared" si="28"/>
        <v>2580</v>
      </c>
      <c r="Y128" s="1">
        <f t="shared" si="29"/>
        <v>39889</v>
      </c>
      <c r="Z128" s="1">
        <v>10.63</v>
      </c>
      <c r="AA128" s="1">
        <v>10.39</v>
      </c>
      <c r="AB128" s="1">
        <f t="shared" si="30"/>
        <v>10.510000000000002</v>
      </c>
      <c r="AC128" s="1">
        <v>13.05</v>
      </c>
      <c r="AD128" s="1">
        <v>13.56</v>
      </c>
      <c r="AE128" s="1">
        <f t="shared" si="31"/>
        <v>13.305</v>
      </c>
      <c r="AF128" s="1">
        <f t="shared" si="31"/>
        <v>13.432500000000001</v>
      </c>
      <c r="AG128" s="1">
        <v>99.47</v>
      </c>
      <c r="AH128" s="1">
        <v>98.91</v>
      </c>
      <c r="AI128" s="1">
        <v>85.56</v>
      </c>
      <c r="AJ128" s="1">
        <v>26.28</v>
      </c>
      <c r="AK128" s="1">
        <v>683</v>
      </c>
      <c r="AL128" s="1">
        <v>305</v>
      </c>
      <c r="AM128" s="1">
        <v>988</v>
      </c>
      <c r="AN128" s="1">
        <v>9512</v>
      </c>
      <c r="AO128" s="1">
        <v>4871</v>
      </c>
      <c r="AP128" s="1">
        <v>14383</v>
      </c>
      <c r="AQ128" s="1">
        <v>153988</v>
      </c>
      <c r="AR128" s="1">
        <v>73836</v>
      </c>
      <c r="AS128" s="1">
        <v>227824</v>
      </c>
      <c r="AT128" s="5">
        <v>236</v>
      </c>
      <c r="AU128" s="5">
        <v>188</v>
      </c>
      <c r="AV128" s="5">
        <v>424</v>
      </c>
      <c r="AW128" s="5">
        <v>4481</v>
      </c>
      <c r="AX128" s="5">
        <v>2077</v>
      </c>
      <c r="AY128" s="5">
        <v>6558</v>
      </c>
      <c r="AZ128" s="5">
        <v>76953</v>
      </c>
      <c r="BA128" s="5">
        <v>25475</v>
      </c>
      <c r="BB128" s="5">
        <v>102428</v>
      </c>
    </row>
    <row r="129" spans="1:54" ht="15.75" x14ac:dyDescent="0.25">
      <c r="A129" s="1" t="s">
        <v>11</v>
      </c>
      <c r="B129" s="1">
        <v>2024</v>
      </c>
      <c r="C129" s="1">
        <v>4.22</v>
      </c>
      <c r="D129" s="1">
        <v>4.22</v>
      </c>
      <c r="E129" s="1">
        <v>4.22</v>
      </c>
      <c r="F129" s="1">
        <v>15.19</v>
      </c>
      <c r="G129" s="1">
        <v>63.69</v>
      </c>
      <c r="H129" s="1">
        <v>117</v>
      </c>
      <c r="I129" s="1">
        <v>387</v>
      </c>
      <c r="J129" s="1">
        <v>5049</v>
      </c>
      <c r="K129" s="1">
        <v>7065</v>
      </c>
      <c r="L129" s="1">
        <v>88259</v>
      </c>
      <c r="M129" s="1">
        <v>101884</v>
      </c>
      <c r="N129" s="1">
        <f t="shared" si="24"/>
        <v>504</v>
      </c>
      <c r="O129" s="1">
        <f t="shared" si="25"/>
        <v>12114</v>
      </c>
      <c r="P129" s="1">
        <f t="shared" si="26"/>
        <v>190143</v>
      </c>
      <c r="Q129" s="1">
        <v>73</v>
      </c>
      <c r="R129" s="1">
        <v>483</v>
      </c>
      <c r="S129" s="1">
        <v>3490</v>
      </c>
      <c r="T129" s="1">
        <v>8130</v>
      </c>
      <c r="U129" s="1">
        <v>58159</v>
      </c>
      <c r="V129" s="1">
        <v>138100</v>
      </c>
      <c r="W129" s="1">
        <f t="shared" si="27"/>
        <v>556</v>
      </c>
      <c r="X129" s="1">
        <f t="shared" si="28"/>
        <v>11620</v>
      </c>
      <c r="Y129" s="1">
        <f t="shared" si="29"/>
        <v>196259</v>
      </c>
      <c r="Z129" s="1">
        <v>11.83</v>
      </c>
      <c r="AA129" s="1">
        <v>11.19</v>
      </c>
      <c r="AB129" s="1">
        <f t="shared" si="30"/>
        <v>11.51</v>
      </c>
      <c r="AC129" s="1">
        <v>13.37</v>
      </c>
      <c r="AD129" s="1">
        <v>13.62</v>
      </c>
      <c r="AE129" s="1">
        <f t="shared" si="31"/>
        <v>13.494999999999999</v>
      </c>
      <c r="AF129" s="1">
        <f t="shared" si="31"/>
        <v>13.557499999999999</v>
      </c>
      <c r="AG129" s="1">
        <v>99.25</v>
      </c>
      <c r="AH129" s="1">
        <v>98.36</v>
      </c>
      <c r="AI129" s="1">
        <v>79.95</v>
      </c>
      <c r="AJ129" s="1">
        <v>32.979999999999997</v>
      </c>
      <c r="AK129" s="1">
        <v>1305</v>
      </c>
      <c r="AL129" s="1">
        <v>918</v>
      </c>
      <c r="AM129" s="1">
        <v>2223</v>
      </c>
      <c r="AN129" s="1">
        <v>23525</v>
      </c>
      <c r="AO129" s="1">
        <v>15462</v>
      </c>
      <c r="AP129" s="1">
        <v>38987</v>
      </c>
      <c r="AQ129" s="1">
        <v>534084</v>
      </c>
      <c r="AR129" s="1">
        <v>212135</v>
      </c>
      <c r="AS129" s="1">
        <v>746219</v>
      </c>
      <c r="AT129" s="5">
        <v>293</v>
      </c>
      <c r="AU129" s="5">
        <v>775</v>
      </c>
      <c r="AV129" s="5">
        <v>1068</v>
      </c>
      <c r="AW129" s="5">
        <v>10213</v>
      </c>
      <c r="AX129" s="5">
        <v>9259</v>
      </c>
      <c r="AY129" s="5">
        <v>19472</v>
      </c>
      <c r="AZ129" s="5">
        <v>211760</v>
      </c>
      <c r="BA129" s="5">
        <v>142994</v>
      </c>
      <c r="BB129" s="5">
        <v>354754</v>
      </c>
    </row>
    <row r="130" spans="1:54" ht="15.75" x14ac:dyDescent="0.25">
      <c r="A130" s="1" t="s">
        <v>12</v>
      </c>
      <c r="B130" s="1">
        <v>2024</v>
      </c>
      <c r="C130" s="1">
        <v>6.86</v>
      </c>
      <c r="D130" s="1">
        <v>8.9600000000000009</v>
      </c>
      <c r="E130" s="1">
        <v>7.27</v>
      </c>
      <c r="F130" s="1">
        <v>23.49</v>
      </c>
      <c r="G130" s="1">
        <v>45.61</v>
      </c>
      <c r="H130" s="1">
        <v>514</v>
      </c>
      <c r="I130" s="1">
        <v>1306</v>
      </c>
      <c r="J130" s="1">
        <v>26885</v>
      </c>
      <c r="K130" s="1">
        <v>17673</v>
      </c>
      <c r="L130" s="1">
        <v>541246</v>
      </c>
      <c r="M130" s="1">
        <v>301514</v>
      </c>
      <c r="N130" s="1">
        <f t="shared" ref="N130:N161" si="32">H130+I130</f>
        <v>1820</v>
      </c>
      <c r="O130" s="1">
        <f t="shared" ref="O130:O161" si="33">J130+K130</f>
        <v>44558</v>
      </c>
      <c r="P130" s="1">
        <f t="shared" ref="P130:P161" si="34">L130+M130</f>
        <v>842760</v>
      </c>
      <c r="Q130" s="1">
        <v>288</v>
      </c>
      <c r="R130" s="1">
        <v>2634</v>
      </c>
      <c r="S130" s="1">
        <v>18326</v>
      </c>
      <c r="T130" s="1">
        <v>38948</v>
      </c>
      <c r="U130" s="1">
        <v>349760</v>
      </c>
      <c r="V130" s="1">
        <v>708862</v>
      </c>
      <c r="W130" s="1">
        <f t="shared" ref="W130:W161" si="35">Q130+R130</f>
        <v>2922</v>
      </c>
      <c r="X130" s="1">
        <f t="shared" ref="X130:X161" si="36">S130+T130</f>
        <v>57274</v>
      </c>
      <c r="Y130" s="1">
        <f t="shared" ref="Y130:Y161" si="37">U130+V130</f>
        <v>1058622</v>
      </c>
      <c r="Z130" s="1">
        <v>9.19</v>
      </c>
      <c r="AA130" s="1">
        <v>8.5500000000000007</v>
      </c>
      <c r="AB130" s="1">
        <f t="shared" si="30"/>
        <v>8.870000000000001</v>
      </c>
      <c r="AC130" s="1">
        <v>12.69</v>
      </c>
      <c r="AD130" s="1">
        <v>12.9</v>
      </c>
      <c r="AE130" s="1">
        <f t="shared" si="31"/>
        <v>12.795</v>
      </c>
      <c r="AF130" s="1">
        <f t="shared" si="31"/>
        <v>12.8475</v>
      </c>
      <c r="AG130" s="1">
        <v>99.46</v>
      </c>
      <c r="AH130" s="1">
        <v>95.86</v>
      </c>
      <c r="AI130" s="1">
        <v>71.150000000000006</v>
      </c>
      <c r="AJ130" s="1">
        <v>26.59</v>
      </c>
      <c r="AK130" s="1">
        <v>16980</v>
      </c>
      <c r="AL130" s="1">
        <v>2558</v>
      </c>
      <c r="AM130" s="1">
        <v>19538</v>
      </c>
      <c r="AN130" s="1">
        <v>176060</v>
      </c>
      <c r="AO130" s="1">
        <v>38508</v>
      </c>
      <c r="AP130" s="1">
        <v>214568</v>
      </c>
      <c r="AQ130" s="1">
        <v>3892560</v>
      </c>
      <c r="AR130" s="1">
        <v>620397</v>
      </c>
      <c r="AS130" s="1">
        <v>4512957</v>
      </c>
      <c r="AT130" s="5">
        <v>1993</v>
      </c>
      <c r="AU130" s="5">
        <v>4058</v>
      </c>
      <c r="AV130" s="5">
        <v>6051</v>
      </c>
      <c r="AW130" s="5">
        <v>55077</v>
      </c>
      <c r="AX130" s="5">
        <v>42062</v>
      </c>
      <c r="AY130" s="5">
        <v>97139</v>
      </c>
      <c r="AZ130" s="5">
        <v>1175708</v>
      </c>
      <c r="BA130" s="5">
        <v>685056</v>
      </c>
      <c r="BB130" s="5">
        <v>1860764</v>
      </c>
    </row>
    <row r="131" spans="1:54" ht="15.75" x14ac:dyDescent="0.25">
      <c r="A131" s="1" t="s">
        <v>13</v>
      </c>
      <c r="B131" s="1">
        <v>2024</v>
      </c>
      <c r="C131" s="1">
        <v>9.27</v>
      </c>
      <c r="D131" s="1">
        <v>10.895</v>
      </c>
      <c r="E131" s="1">
        <v>10.025</v>
      </c>
      <c r="F131" s="1">
        <v>17.93</v>
      </c>
      <c r="G131" s="1">
        <v>40.36</v>
      </c>
      <c r="H131" s="1">
        <v>362</v>
      </c>
      <c r="I131" s="1">
        <v>506</v>
      </c>
      <c r="J131" s="1">
        <v>18396</v>
      </c>
      <c r="K131" s="1">
        <v>7698</v>
      </c>
      <c r="L131" s="1">
        <v>347588</v>
      </c>
      <c r="M131" s="1">
        <v>115960</v>
      </c>
      <c r="N131" s="1">
        <f t="shared" si="32"/>
        <v>868</v>
      </c>
      <c r="O131" s="1">
        <f t="shared" si="33"/>
        <v>26094</v>
      </c>
      <c r="P131" s="1">
        <f t="shared" si="34"/>
        <v>463548</v>
      </c>
      <c r="Q131" s="1">
        <v>239</v>
      </c>
      <c r="R131" s="1">
        <v>1308</v>
      </c>
      <c r="S131" s="1">
        <v>16996</v>
      </c>
      <c r="T131" s="1">
        <v>28710</v>
      </c>
      <c r="U131" s="1">
        <v>303453</v>
      </c>
      <c r="V131" s="1">
        <v>519577</v>
      </c>
      <c r="W131" s="1">
        <f t="shared" si="35"/>
        <v>1547</v>
      </c>
      <c r="X131" s="1">
        <f t="shared" si="36"/>
        <v>45706</v>
      </c>
      <c r="Y131" s="1">
        <f t="shared" si="37"/>
        <v>823030</v>
      </c>
      <c r="Z131" s="1">
        <v>8.43</v>
      </c>
      <c r="AA131" s="1">
        <v>7.63</v>
      </c>
      <c r="AB131" s="1">
        <f t="shared" si="30"/>
        <v>8.0299999999999994</v>
      </c>
      <c r="AC131" s="1">
        <v>12.77</v>
      </c>
      <c r="AD131" s="1">
        <v>13.04</v>
      </c>
      <c r="AE131" s="1">
        <f t="shared" si="31"/>
        <v>12.904999999999999</v>
      </c>
      <c r="AF131" s="1">
        <f t="shared" si="31"/>
        <v>12.9725</v>
      </c>
      <c r="AG131" s="1">
        <v>99.57</v>
      </c>
      <c r="AH131" s="1">
        <v>97.12</v>
      </c>
      <c r="AI131" s="1">
        <v>71.599999999999994</v>
      </c>
      <c r="AJ131" s="1">
        <v>25.61</v>
      </c>
      <c r="AK131" s="1">
        <v>17254</v>
      </c>
      <c r="AL131" s="1">
        <v>1343</v>
      </c>
      <c r="AM131" s="1">
        <v>18597</v>
      </c>
      <c r="AN131" s="1">
        <v>149403</v>
      </c>
      <c r="AO131" s="1">
        <v>17716</v>
      </c>
      <c r="AP131" s="1">
        <v>167119</v>
      </c>
      <c r="AQ131" s="1">
        <v>2259455</v>
      </c>
      <c r="AR131" s="1">
        <v>319228</v>
      </c>
      <c r="AS131" s="1">
        <v>2578683</v>
      </c>
      <c r="AT131" s="5">
        <v>1771</v>
      </c>
      <c r="AU131" s="5">
        <v>1685</v>
      </c>
      <c r="AV131" s="5">
        <v>3456</v>
      </c>
      <c r="AW131" s="5">
        <v>51534</v>
      </c>
      <c r="AX131" s="5">
        <v>18095</v>
      </c>
      <c r="AY131" s="5">
        <v>69629</v>
      </c>
      <c r="AZ131" s="5">
        <v>936459</v>
      </c>
      <c r="BA131" s="5">
        <v>282405</v>
      </c>
      <c r="BB131" s="5">
        <v>1218864</v>
      </c>
    </row>
    <row r="132" spans="1:54" ht="15.75" x14ac:dyDescent="0.25">
      <c r="A132" s="1" t="s">
        <v>14</v>
      </c>
      <c r="B132" s="1">
        <v>2024</v>
      </c>
      <c r="C132" s="1">
        <v>10.199999999999999</v>
      </c>
      <c r="D132" s="1">
        <v>11.9</v>
      </c>
      <c r="E132" s="1">
        <v>10.615</v>
      </c>
      <c r="F132" s="1">
        <v>11.18</v>
      </c>
      <c r="G132" s="1">
        <v>46.88</v>
      </c>
      <c r="H132" s="1">
        <v>69</v>
      </c>
      <c r="I132" s="1">
        <v>106</v>
      </c>
      <c r="J132" s="1">
        <v>2568</v>
      </c>
      <c r="K132" s="1">
        <v>1556</v>
      </c>
      <c r="L132" s="1">
        <v>44057</v>
      </c>
      <c r="M132" s="1">
        <v>18682</v>
      </c>
      <c r="N132" s="1">
        <f t="shared" si="32"/>
        <v>175</v>
      </c>
      <c r="O132" s="1">
        <f t="shared" si="33"/>
        <v>4124</v>
      </c>
      <c r="P132" s="1">
        <f t="shared" si="34"/>
        <v>62739</v>
      </c>
      <c r="Q132" s="1">
        <v>50</v>
      </c>
      <c r="R132" s="1">
        <v>157</v>
      </c>
      <c r="S132" s="1">
        <v>3196</v>
      </c>
      <c r="T132" s="1">
        <v>2966</v>
      </c>
      <c r="U132" s="1">
        <v>52370</v>
      </c>
      <c r="V132" s="1">
        <v>38090</v>
      </c>
      <c r="W132" s="1">
        <f t="shared" si="35"/>
        <v>207</v>
      </c>
      <c r="X132" s="1">
        <f t="shared" si="36"/>
        <v>6162</v>
      </c>
      <c r="Y132" s="1">
        <f t="shared" si="37"/>
        <v>90460</v>
      </c>
      <c r="Z132" s="1">
        <v>10.220000000000001</v>
      </c>
      <c r="AA132" s="1">
        <v>9.6300000000000008</v>
      </c>
      <c r="AB132" s="1">
        <f t="shared" si="30"/>
        <v>9.9250000000000007</v>
      </c>
      <c r="AC132" s="1">
        <v>15.72</v>
      </c>
      <c r="AD132" s="1">
        <v>15.7</v>
      </c>
      <c r="AE132" s="1">
        <f t="shared" si="31"/>
        <v>15.71</v>
      </c>
      <c r="AF132" s="1">
        <f t="shared" si="31"/>
        <v>15.705</v>
      </c>
      <c r="AG132" s="1">
        <v>99.65</v>
      </c>
      <c r="AH132" s="1">
        <v>98.9</v>
      </c>
      <c r="AI132" s="1">
        <v>90.36</v>
      </c>
      <c r="AJ132" s="1">
        <v>54.17</v>
      </c>
      <c r="AK132" s="1">
        <v>1418</v>
      </c>
      <c r="AL132" s="1">
        <v>423</v>
      </c>
      <c r="AM132" s="1">
        <v>1841</v>
      </c>
      <c r="AN132" s="1">
        <v>14689</v>
      </c>
      <c r="AO132" s="1">
        <v>5492</v>
      </c>
      <c r="AP132" s="1">
        <v>20181</v>
      </c>
      <c r="AQ132" s="1">
        <v>182927</v>
      </c>
      <c r="AR132" s="1">
        <v>83347</v>
      </c>
      <c r="AS132" s="1">
        <v>266274</v>
      </c>
      <c r="AT132" s="5">
        <v>214</v>
      </c>
      <c r="AU132" s="5">
        <v>239</v>
      </c>
      <c r="AV132" s="5">
        <v>453</v>
      </c>
      <c r="AW132" s="5">
        <v>5564</v>
      </c>
      <c r="AX132" s="5">
        <v>3170</v>
      </c>
      <c r="AY132" s="5">
        <v>8734</v>
      </c>
      <c r="AZ132" s="5">
        <v>92562</v>
      </c>
      <c r="BA132" s="5">
        <v>38629</v>
      </c>
      <c r="BB132" s="5">
        <v>131191</v>
      </c>
    </row>
    <row r="133" spans="1:54" ht="15.75" x14ac:dyDescent="0.25">
      <c r="A133" s="1" t="s">
        <v>15</v>
      </c>
      <c r="B133" s="1">
        <v>2024</v>
      </c>
      <c r="C133" s="1">
        <v>6.9749999999999996</v>
      </c>
      <c r="D133" s="1">
        <v>13.245000000000001</v>
      </c>
      <c r="E133" s="1">
        <v>9.6750000000000007</v>
      </c>
      <c r="F133" s="1">
        <v>17.02</v>
      </c>
      <c r="G133" s="1">
        <v>38.51</v>
      </c>
      <c r="H133" s="1">
        <v>421</v>
      </c>
      <c r="I133" s="1">
        <v>1095</v>
      </c>
      <c r="J133" s="1">
        <v>21353</v>
      </c>
      <c r="K133" s="1">
        <v>13634</v>
      </c>
      <c r="L133" s="1">
        <v>358942</v>
      </c>
      <c r="M133" s="1">
        <v>200372</v>
      </c>
      <c r="N133" s="1">
        <f t="shared" si="32"/>
        <v>1516</v>
      </c>
      <c r="O133" s="1">
        <f t="shared" si="33"/>
        <v>34987</v>
      </c>
      <c r="P133" s="1">
        <f t="shared" si="34"/>
        <v>559314</v>
      </c>
      <c r="Q133" s="1">
        <v>299</v>
      </c>
      <c r="R133" s="1">
        <v>1861</v>
      </c>
      <c r="S133" s="1">
        <v>21302</v>
      </c>
      <c r="T133" s="1">
        <v>27337</v>
      </c>
      <c r="U133" s="1">
        <v>352073</v>
      </c>
      <c r="V133" s="1">
        <v>433914</v>
      </c>
      <c r="W133" s="1">
        <f t="shared" si="35"/>
        <v>2160</v>
      </c>
      <c r="X133" s="1">
        <f t="shared" si="36"/>
        <v>48639</v>
      </c>
      <c r="Y133" s="1">
        <f t="shared" si="37"/>
        <v>785987</v>
      </c>
      <c r="Z133" s="1">
        <v>8.74</v>
      </c>
      <c r="AA133" s="1">
        <v>7.84</v>
      </c>
      <c r="AB133" s="1">
        <f t="shared" si="30"/>
        <v>8.2899999999999991</v>
      </c>
      <c r="AC133" s="1">
        <v>13.29</v>
      </c>
      <c r="AD133" s="1">
        <v>13.65</v>
      </c>
      <c r="AE133" s="1">
        <f t="shared" si="31"/>
        <v>13.469999999999999</v>
      </c>
      <c r="AF133" s="1">
        <f t="shared" si="31"/>
        <v>13.559999999999999</v>
      </c>
      <c r="AG133" s="1">
        <v>99.34</v>
      </c>
      <c r="AH133" s="1">
        <v>97.68</v>
      </c>
      <c r="AI133" s="1">
        <v>76.44</v>
      </c>
      <c r="AJ133" s="1">
        <v>28.88</v>
      </c>
      <c r="AK133" s="1">
        <v>16864</v>
      </c>
      <c r="AL133" s="1">
        <v>2111</v>
      </c>
      <c r="AM133" s="1">
        <v>18975</v>
      </c>
      <c r="AN133" s="1">
        <v>156671</v>
      </c>
      <c r="AO133" s="1">
        <v>25269</v>
      </c>
      <c r="AP133" s="1">
        <v>181940</v>
      </c>
      <c r="AQ133" s="1">
        <v>2097016</v>
      </c>
      <c r="AR133" s="1">
        <v>404776</v>
      </c>
      <c r="AS133" s="1">
        <v>2501792</v>
      </c>
      <c r="AT133" s="5">
        <v>1737</v>
      </c>
      <c r="AU133" s="5">
        <v>3311</v>
      </c>
      <c r="AV133" s="5">
        <v>5048</v>
      </c>
      <c r="AW133" s="5">
        <v>48181</v>
      </c>
      <c r="AX133" s="5">
        <v>31707</v>
      </c>
      <c r="AY133" s="5">
        <v>79888</v>
      </c>
      <c r="AZ133" s="5">
        <v>820294</v>
      </c>
      <c r="BA133" s="5">
        <v>421917</v>
      </c>
      <c r="BB133" s="5">
        <v>1242211</v>
      </c>
    </row>
    <row r="134" spans="1:54" ht="15.75" x14ac:dyDescent="0.25">
      <c r="A134" s="1" t="s">
        <v>16</v>
      </c>
      <c r="B134" s="1">
        <v>2024</v>
      </c>
      <c r="C134" s="1">
        <v>5.6300000000000008</v>
      </c>
      <c r="D134" s="1">
        <v>6.32</v>
      </c>
      <c r="E134" s="1">
        <v>5.77</v>
      </c>
      <c r="F134" s="1">
        <v>23.79</v>
      </c>
      <c r="G134" s="1">
        <v>53.79</v>
      </c>
      <c r="H134" s="1">
        <v>161</v>
      </c>
      <c r="I134" s="1">
        <v>449</v>
      </c>
      <c r="J134" s="1">
        <v>6596</v>
      </c>
      <c r="K134" s="1">
        <v>6138</v>
      </c>
      <c r="L134" s="1">
        <v>147612</v>
      </c>
      <c r="M134" s="1">
        <v>81320</v>
      </c>
      <c r="N134" s="1">
        <f t="shared" si="32"/>
        <v>610</v>
      </c>
      <c r="O134" s="1">
        <f t="shared" si="33"/>
        <v>12734</v>
      </c>
      <c r="P134" s="1">
        <f t="shared" si="34"/>
        <v>228932</v>
      </c>
      <c r="Q134" s="1">
        <v>98</v>
      </c>
      <c r="R134" s="1">
        <v>639</v>
      </c>
      <c r="S134" s="1">
        <v>4604</v>
      </c>
      <c r="T134" s="1">
        <v>9477</v>
      </c>
      <c r="U134" s="1">
        <v>94428</v>
      </c>
      <c r="V134" s="1">
        <v>161479</v>
      </c>
      <c r="W134" s="1">
        <f t="shared" si="35"/>
        <v>737</v>
      </c>
      <c r="X134" s="1">
        <f t="shared" si="36"/>
        <v>14081</v>
      </c>
      <c r="Y134" s="1">
        <f t="shared" si="37"/>
        <v>255907</v>
      </c>
      <c r="Z134" s="1">
        <v>9.6</v>
      </c>
      <c r="AA134" s="1">
        <v>8.86</v>
      </c>
      <c r="AB134" s="1">
        <f t="shared" si="30"/>
        <v>9.23</v>
      </c>
      <c r="AC134" s="1">
        <v>12.94</v>
      </c>
      <c r="AD134" s="1">
        <v>13.28</v>
      </c>
      <c r="AE134" s="1">
        <f t="shared" si="31"/>
        <v>13.11</v>
      </c>
      <c r="AF134" s="1">
        <f t="shared" si="31"/>
        <v>13.195</v>
      </c>
      <c r="AG134" s="1">
        <v>99.52</v>
      </c>
      <c r="AH134" s="1">
        <v>96.67</v>
      </c>
      <c r="AI134" s="1">
        <v>71.91</v>
      </c>
      <c r="AJ134" s="1">
        <v>26.04</v>
      </c>
      <c r="AK134" s="1">
        <v>3853</v>
      </c>
      <c r="AL134" s="1">
        <v>799</v>
      </c>
      <c r="AM134" s="1">
        <v>4652</v>
      </c>
      <c r="AN134" s="1">
        <v>46195</v>
      </c>
      <c r="AO134" s="1">
        <v>12457</v>
      </c>
      <c r="AP134" s="1">
        <v>58652</v>
      </c>
      <c r="AQ134" s="1">
        <v>1020399</v>
      </c>
      <c r="AR134" s="1">
        <v>202372</v>
      </c>
      <c r="AS134" s="1">
        <v>1222771</v>
      </c>
      <c r="AT134" s="5">
        <v>576</v>
      </c>
      <c r="AU134" s="5">
        <v>1046</v>
      </c>
      <c r="AV134" s="5">
        <v>1622</v>
      </c>
      <c r="AW134" s="5">
        <v>14140</v>
      </c>
      <c r="AX134" s="5">
        <v>9839</v>
      </c>
      <c r="AY134" s="5">
        <v>23979</v>
      </c>
      <c r="AZ134" s="5">
        <v>287975</v>
      </c>
      <c r="BA134" s="5">
        <v>166231</v>
      </c>
      <c r="BB134" s="5">
        <v>454206</v>
      </c>
    </row>
    <row r="135" spans="1:54" ht="15.75" x14ac:dyDescent="0.25">
      <c r="A135" s="1" t="s">
        <v>17</v>
      </c>
      <c r="B135" s="1">
        <v>2024</v>
      </c>
      <c r="C135" s="1">
        <v>3.4349999999999996</v>
      </c>
      <c r="D135" s="1">
        <v>5.1550000000000002</v>
      </c>
      <c r="E135" s="1">
        <v>3.9</v>
      </c>
      <c r="F135" s="1">
        <v>7.26</v>
      </c>
      <c r="G135" s="1">
        <v>49.32</v>
      </c>
      <c r="H135" s="1">
        <v>90</v>
      </c>
      <c r="I135" s="1">
        <v>71</v>
      </c>
      <c r="J135" s="1">
        <v>4876</v>
      </c>
      <c r="K135" s="1">
        <v>1017</v>
      </c>
      <c r="L135" s="1">
        <v>78094</v>
      </c>
      <c r="M135" s="1">
        <v>14111</v>
      </c>
      <c r="N135" s="1">
        <f t="shared" si="32"/>
        <v>161</v>
      </c>
      <c r="O135" s="1">
        <f t="shared" si="33"/>
        <v>5893</v>
      </c>
      <c r="P135" s="1">
        <f t="shared" si="34"/>
        <v>92205</v>
      </c>
      <c r="Q135" s="1">
        <v>58</v>
      </c>
      <c r="R135" s="1">
        <v>111</v>
      </c>
      <c r="S135" s="1">
        <v>3636</v>
      </c>
      <c r="T135" s="1">
        <v>2018</v>
      </c>
      <c r="U135" s="1">
        <v>55988</v>
      </c>
      <c r="V135" s="1">
        <v>38645</v>
      </c>
      <c r="W135" s="1">
        <f t="shared" si="35"/>
        <v>169</v>
      </c>
      <c r="X135" s="1">
        <f t="shared" si="36"/>
        <v>5654</v>
      </c>
      <c r="Y135" s="1">
        <f t="shared" si="37"/>
        <v>94633</v>
      </c>
      <c r="Z135" s="1">
        <v>10.130000000000001</v>
      </c>
      <c r="AA135" s="1">
        <v>8.94</v>
      </c>
      <c r="AB135" s="1">
        <f t="shared" si="30"/>
        <v>9.5350000000000001</v>
      </c>
      <c r="AC135" s="1">
        <v>13.57</v>
      </c>
      <c r="AD135" s="1">
        <v>13.87</v>
      </c>
      <c r="AE135" s="1">
        <f t="shared" si="31"/>
        <v>13.719999999999999</v>
      </c>
      <c r="AF135" s="1">
        <f t="shared" si="31"/>
        <v>13.794999999999998</v>
      </c>
      <c r="AG135" s="1">
        <v>99.65</v>
      </c>
      <c r="AH135" s="1">
        <v>98.79</v>
      </c>
      <c r="AI135" s="1">
        <v>85.17</v>
      </c>
      <c r="AJ135" s="1">
        <v>35.39</v>
      </c>
      <c r="AK135" s="1">
        <v>2251</v>
      </c>
      <c r="AL135" s="1">
        <v>156</v>
      </c>
      <c r="AM135" s="1">
        <v>2407</v>
      </c>
      <c r="AN135" s="1">
        <v>23048</v>
      </c>
      <c r="AO135" s="1">
        <v>2755</v>
      </c>
      <c r="AP135" s="1">
        <v>25803</v>
      </c>
      <c r="AQ135" s="1">
        <v>338502</v>
      </c>
      <c r="AR135" s="1">
        <v>43992</v>
      </c>
      <c r="AS135" s="1">
        <v>382494</v>
      </c>
      <c r="AT135" s="5">
        <v>277</v>
      </c>
      <c r="AU135" s="5">
        <v>125</v>
      </c>
      <c r="AV135" s="5">
        <v>402</v>
      </c>
      <c r="AW135" s="5">
        <v>9446</v>
      </c>
      <c r="AX135" s="5">
        <v>1664</v>
      </c>
      <c r="AY135" s="5">
        <v>11110</v>
      </c>
      <c r="AZ135" s="5">
        <v>161975</v>
      </c>
      <c r="BA135" s="5">
        <v>27024</v>
      </c>
      <c r="BB135" s="5">
        <v>188999</v>
      </c>
    </row>
    <row r="136" spans="1:54" ht="15.75" x14ac:dyDescent="0.25">
      <c r="A136" s="1" t="s">
        <v>18</v>
      </c>
      <c r="B136" s="1">
        <v>2024</v>
      </c>
      <c r="C136" s="1">
        <v>12.25</v>
      </c>
      <c r="D136" s="1">
        <v>12.58</v>
      </c>
      <c r="E136" s="1">
        <v>12.41</v>
      </c>
      <c r="F136" s="1">
        <v>15.44</v>
      </c>
      <c r="G136" s="1">
        <v>29.49</v>
      </c>
      <c r="H136" s="1">
        <v>150</v>
      </c>
      <c r="I136" s="1">
        <v>228</v>
      </c>
      <c r="J136" s="1">
        <v>8034</v>
      </c>
      <c r="K136" s="1">
        <v>2115</v>
      </c>
      <c r="L136" s="1">
        <v>101205</v>
      </c>
      <c r="M136" s="1">
        <v>20460</v>
      </c>
      <c r="N136" s="1">
        <f t="shared" si="32"/>
        <v>378</v>
      </c>
      <c r="O136" s="1">
        <f t="shared" si="33"/>
        <v>10149</v>
      </c>
      <c r="P136" s="1">
        <f t="shared" si="34"/>
        <v>121665</v>
      </c>
      <c r="Q136" s="1">
        <v>100</v>
      </c>
      <c r="R136" s="1">
        <v>241</v>
      </c>
      <c r="S136" s="1">
        <v>5796</v>
      </c>
      <c r="T136" s="1">
        <v>2439</v>
      </c>
      <c r="U136" s="1">
        <v>56212</v>
      </c>
      <c r="V136" s="1">
        <v>22192</v>
      </c>
      <c r="W136" s="1">
        <f t="shared" si="35"/>
        <v>341</v>
      </c>
      <c r="X136" s="1">
        <f t="shared" si="36"/>
        <v>8235</v>
      </c>
      <c r="Y136" s="1">
        <f t="shared" si="37"/>
        <v>78404</v>
      </c>
      <c r="Z136" s="1">
        <v>8.4</v>
      </c>
      <c r="AA136" s="1">
        <v>7.28</v>
      </c>
      <c r="AB136" s="1">
        <f t="shared" si="30"/>
        <v>7.84</v>
      </c>
      <c r="AC136" s="1">
        <v>14.11</v>
      </c>
      <c r="AD136" s="1">
        <v>13.97</v>
      </c>
      <c r="AE136" s="1">
        <f t="shared" si="31"/>
        <v>14.04</v>
      </c>
      <c r="AF136" s="1">
        <f t="shared" si="31"/>
        <v>14.004999999999999</v>
      </c>
      <c r="AG136" s="1">
        <v>99.47</v>
      </c>
      <c r="AH136" s="1">
        <v>97.86</v>
      </c>
      <c r="AI136" s="1">
        <v>77.81</v>
      </c>
      <c r="AJ136" s="1">
        <v>28.88</v>
      </c>
      <c r="AK136" s="1">
        <v>3008</v>
      </c>
      <c r="AL136" s="1">
        <v>344</v>
      </c>
      <c r="AM136" s="1">
        <v>3352</v>
      </c>
      <c r="AN136" s="1">
        <v>42820</v>
      </c>
      <c r="AO136" s="1">
        <v>3273</v>
      </c>
      <c r="AP136" s="1">
        <v>46093</v>
      </c>
      <c r="AQ136" s="1">
        <v>474323</v>
      </c>
      <c r="AR136" s="1">
        <v>43262</v>
      </c>
      <c r="AS136" s="1">
        <v>517585</v>
      </c>
      <c r="AT136" s="5">
        <v>606</v>
      </c>
      <c r="AU136" s="5">
        <v>487</v>
      </c>
      <c r="AV136" s="5">
        <v>1093</v>
      </c>
      <c r="AW136" s="5">
        <v>18569</v>
      </c>
      <c r="AX136" s="5">
        <v>4390</v>
      </c>
      <c r="AY136" s="5">
        <v>22959</v>
      </c>
      <c r="AZ136" s="5">
        <v>139505</v>
      </c>
      <c r="BA136" s="5">
        <v>41062</v>
      </c>
      <c r="BB136" s="5">
        <v>180567</v>
      </c>
    </row>
    <row r="137" spans="1:54" ht="15.75" x14ac:dyDescent="0.25">
      <c r="A137" s="1" t="s">
        <v>19</v>
      </c>
      <c r="B137" s="1">
        <v>2024</v>
      </c>
      <c r="C137" s="1">
        <v>8.34</v>
      </c>
      <c r="D137" s="1">
        <v>23.215</v>
      </c>
      <c r="E137" s="1">
        <v>19.25</v>
      </c>
      <c r="F137" s="1">
        <v>17.02</v>
      </c>
      <c r="G137" s="1">
        <v>26.68</v>
      </c>
      <c r="H137" s="1">
        <v>397</v>
      </c>
      <c r="I137" s="1">
        <v>221</v>
      </c>
      <c r="J137" s="1">
        <v>12830</v>
      </c>
      <c r="K137" s="1">
        <v>4253</v>
      </c>
      <c r="L137" s="1">
        <v>142570</v>
      </c>
      <c r="M137" s="1">
        <v>58230</v>
      </c>
      <c r="N137" s="1">
        <f t="shared" si="32"/>
        <v>618</v>
      </c>
      <c r="O137" s="1">
        <f t="shared" si="33"/>
        <v>17083</v>
      </c>
      <c r="P137" s="1">
        <f t="shared" si="34"/>
        <v>200800</v>
      </c>
      <c r="Q137" s="1">
        <v>178</v>
      </c>
      <c r="R137" s="1">
        <v>177</v>
      </c>
      <c r="S137" s="1">
        <v>6361</v>
      </c>
      <c r="T137" s="1">
        <v>3139</v>
      </c>
      <c r="U137" s="1">
        <v>57309</v>
      </c>
      <c r="V137" s="1">
        <v>39908</v>
      </c>
      <c r="W137" s="1">
        <f t="shared" si="35"/>
        <v>355</v>
      </c>
      <c r="X137" s="1">
        <f t="shared" si="36"/>
        <v>9500</v>
      </c>
      <c r="Y137" s="1">
        <f t="shared" si="37"/>
        <v>97217</v>
      </c>
      <c r="Z137" s="1">
        <v>8.17</v>
      </c>
      <c r="AA137" s="1">
        <v>7.87</v>
      </c>
      <c r="AB137" s="1">
        <f t="shared" si="30"/>
        <v>8.02</v>
      </c>
      <c r="AC137" s="1">
        <v>13.13</v>
      </c>
      <c r="AD137" s="1">
        <v>13.56</v>
      </c>
      <c r="AE137" s="1">
        <f t="shared" si="31"/>
        <v>13.345000000000001</v>
      </c>
      <c r="AF137" s="1">
        <f t="shared" si="31"/>
        <v>13.452500000000001</v>
      </c>
      <c r="AG137" s="1">
        <v>98.81</v>
      </c>
      <c r="AH137" s="1">
        <v>94.76</v>
      </c>
      <c r="AI137" s="1">
        <v>75.75</v>
      </c>
      <c r="AJ137" s="1">
        <v>33.24</v>
      </c>
      <c r="AK137" s="1">
        <v>3415</v>
      </c>
      <c r="AL137" s="1">
        <v>1832</v>
      </c>
      <c r="AM137" s="1">
        <v>5247</v>
      </c>
      <c r="AN137" s="1">
        <v>41144</v>
      </c>
      <c r="AO137" s="1">
        <v>15609</v>
      </c>
      <c r="AP137" s="1">
        <v>56753</v>
      </c>
      <c r="AQ137" s="1">
        <v>411297</v>
      </c>
      <c r="AR137" s="1">
        <v>242072</v>
      </c>
      <c r="AS137" s="1">
        <v>653369</v>
      </c>
      <c r="AT137" s="5">
        <v>1396</v>
      </c>
      <c r="AU137" s="5">
        <v>462</v>
      </c>
      <c r="AV137" s="5">
        <v>1858</v>
      </c>
      <c r="AW137" s="5">
        <v>26971</v>
      </c>
      <c r="AX137" s="5">
        <v>5408</v>
      </c>
      <c r="AY137" s="5">
        <v>32379</v>
      </c>
      <c r="AZ137" s="5">
        <v>234939</v>
      </c>
      <c r="BA137" s="5">
        <v>73040</v>
      </c>
      <c r="BB137" s="5">
        <v>307979</v>
      </c>
    </row>
    <row r="138" spans="1:54" ht="15.75" x14ac:dyDescent="0.25">
      <c r="A138" s="1" t="s">
        <v>20</v>
      </c>
      <c r="B138" s="1">
        <v>2024</v>
      </c>
      <c r="C138" s="1">
        <v>4.4350000000000005</v>
      </c>
      <c r="D138" s="1">
        <v>7.42</v>
      </c>
      <c r="E138" s="1">
        <v>6.2850000000000001</v>
      </c>
      <c r="F138" s="1">
        <v>21.22</v>
      </c>
      <c r="G138" s="1">
        <v>43.98</v>
      </c>
      <c r="H138" s="1">
        <v>292</v>
      </c>
      <c r="I138" s="1">
        <v>191</v>
      </c>
      <c r="J138" s="1">
        <v>7119</v>
      </c>
      <c r="K138" s="1">
        <v>1877</v>
      </c>
      <c r="L138" s="1">
        <v>104524</v>
      </c>
      <c r="M138" s="1">
        <v>30123</v>
      </c>
      <c r="N138" s="1">
        <f t="shared" si="32"/>
        <v>483</v>
      </c>
      <c r="O138" s="1">
        <f t="shared" si="33"/>
        <v>8996</v>
      </c>
      <c r="P138" s="1">
        <f t="shared" si="34"/>
        <v>134647</v>
      </c>
      <c r="Q138" s="1">
        <v>120</v>
      </c>
      <c r="R138" s="1">
        <v>115</v>
      </c>
      <c r="S138" s="1">
        <v>3826</v>
      </c>
      <c r="T138" s="1">
        <v>1129</v>
      </c>
      <c r="U138" s="1">
        <v>57640</v>
      </c>
      <c r="V138" s="1">
        <v>17824</v>
      </c>
      <c r="W138" s="1">
        <f t="shared" si="35"/>
        <v>235</v>
      </c>
      <c r="X138" s="1">
        <f t="shared" si="36"/>
        <v>4955</v>
      </c>
      <c r="Y138" s="1">
        <f t="shared" si="37"/>
        <v>75464</v>
      </c>
      <c r="Z138" s="1">
        <v>8.1</v>
      </c>
      <c r="AA138" s="1">
        <v>7.42</v>
      </c>
      <c r="AB138" s="1">
        <f t="shared" si="30"/>
        <v>7.76</v>
      </c>
      <c r="AC138" s="1">
        <v>12.66</v>
      </c>
      <c r="AD138" s="1">
        <v>13.01</v>
      </c>
      <c r="AE138" s="1">
        <f t="shared" si="31"/>
        <v>12.835000000000001</v>
      </c>
      <c r="AF138" s="1">
        <f t="shared" si="31"/>
        <v>12.922499999999999</v>
      </c>
      <c r="AG138" s="1">
        <v>99</v>
      </c>
      <c r="AH138" s="1">
        <v>93.05</v>
      </c>
      <c r="AI138" s="1">
        <v>69.39</v>
      </c>
      <c r="AJ138" s="1">
        <v>26.98</v>
      </c>
      <c r="AK138" s="1">
        <v>4139</v>
      </c>
      <c r="AL138" s="1">
        <v>316</v>
      </c>
      <c r="AM138" s="1">
        <v>4455</v>
      </c>
      <c r="AN138" s="1">
        <v>37706</v>
      </c>
      <c r="AO138" s="1">
        <v>3581</v>
      </c>
      <c r="AP138" s="1">
        <v>41287</v>
      </c>
      <c r="AQ138" s="1">
        <v>493992</v>
      </c>
      <c r="AR138" s="1">
        <v>64197</v>
      </c>
      <c r="AS138" s="1">
        <v>558189</v>
      </c>
      <c r="AT138" s="5">
        <v>1037</v>
      </c>
      <c r="AU138" s="5">
        <v>351</v>
      </c>
      <c r="AV138" s="5">
        <v>1388</v>
      </c>
      <c r="AW138" s="5">
        <v>14398</v>
      </c>
      <c r="AX138" s="5">
        <v>2749</v>
      </c>
      <c r="AY138" s="5">
        <v>17147</v>
      </c>
      <c r="AZ138" s="5">
        <v>190808</v>
      </c>
      <c r="BA138" s="5">
        <v>44626</v>
      </c>
      <c r="BB138" s="5">
        <v>235434</v>
      </c>
    </row>
    <row r="139" spans="1:54" ht="15.75" x14ac:dyDescent="0.25">
      <c r="A139" s="1" t="s">
        <v>21</v>
      </c>
      <c r="B139" s="1">
        <v>2024</v>
      </c>
      <c r="C139" s="1">
        <v>5.0549999999999997</v>
      </c>
      <c r="D139" s="1">
        <v>5.335</v>
      </c>
      <c r="E139" s="1">
        <v>5.2149999999999999</v>
      </c>
      <c r="F139" s="1">
        <v>21.78</v>
      </c>
      <c r="G139" s="1">
        <v>50.67</v>
      </c>
      <c r="H139" s="1">
        <v>182</v>
      </c>
      <c r="I139" s="1">
        <v>66</v>
      </c>
      <c r="J139" s="1">
        <v>4584</v>
      </c>
      <c r="K139" s="1">
        <v>694</v>
      </c>
      <c r="L139" s="1">
        <v>57290</v>
      </c>
      <c r="M139" s="1">
        <v>6656</v>
      </c>
      <c r="N139" s="1">
        <f t="shared" si="32"/>
        <v>248</v>
      </c>
      <c r="O139" s="1">
        <f t="shared" si="33"/>
        <v>5278</v>
      </c>
      <c r="P139" s="1">
        <f t="shared" si="34"/>
        <v>63946</v>
      </c>
      <c r="Q139" s="1">
        <v>94</v>
      </c>
      <c r="R139" s="1">
        <v>45</v>
      </c>
      <c r="S139" s="1">
        <v>2607</v>
      </c>
      <c r="T139" s="1">
        <v>591</v>
      </c>
      <c r="U139" s="1">
        <v>26818</v>
      </c>
      <c r="V139" s="1">
        <v>6010</v>
      </c>
      <c r="W139" s="1">
        <f t="shared" si="35"/>
        <v>139</v>
      </c>
      <c r="X139" s="1">
        <f t="shared" si="36"/>
        <v>3198</v>
      </c>
      <c r="Y139" s="1">
        <f t="shared" si="37"/>
        <v>32828</v>
      </c>
      <c r="Z139" s="1">
        <v>9.06</v>
      </c>
      <c r="AA139" s="1">
        <v>8.6199999999999992</v>
      </c>
      <c r="AB139" s="1">
        <f t="shared" si="30"/>
        <v>8.84</v>
      </c>
      <c r="AC139" s="1">
        <v>12.88</v>
      </c>
      <c r="AD139" s="1">
        <v>12.77</v>
      </c>
      <c r="AE139" s="1">
        <f t="shared" si="31"/>
        <v>12.824999999999999</v>
      </c>
      <c r="AF139" s="1">
        <f t="shared" si="31"/>
        <v>12.797499999999999</v>
      </c>
      <c r="AG139" s="1">
        <v>99.32</v>
      </c>
      <c r="AH139" s="1">
        <v>95.24</v>
      </c>
      <c r="AI139" s="1">
        <v>68.33</v>
      </c>
      <c r="AJ139" s="1">
        <v>24.12</v>
      </c>
      <c r="AK139" s="1">
        <v>2412</v>
      </c>
      <c r="AL139" s="1">
        <v>241</v>
      </c>
      <c r="AM139" s="1">
        <v>2653</v>
      </c>
      <c r="AN139" s="1">
        <v>24445</v>
      </c>
      <c r="AO139" s="1">
        <v>2635</v>
      </c>
      <c r="AP139" s="1">
        <v>27080</v>
      </c>
      <c r="AQ139" s="1">
        <v>231066</v>
      </c>
      <c r="AR139" s="1">
        <v>45359</v>
      </c>
      <c r="AS139" s="1">
        <v>276425</v>
      </c>
      <c r="AT139" s="5">
        <v>719</v>
      </c>
      <c r="AU139" s="5">
        <v>158</v>
      </c>
      <c r="AV139" s="5">
        <v>877</v>
      </c>
      <c r="AW139" s="5">
        <v>9403</v>
      </c>
      <c r="AX139" s="5">
        <v>1428</v>
      </c>
      <c r="AY139" s="5">
        <v>10831</v>
      </c>
      <c r="AZ139" s="5">
        <v>87795</v>
      </c>
      <c r="BA139" s="5">
        <v>19368</v>
      </c>
      <c r="BB139" s="5">
        <v>107163</v>
      </c>
    </row>
    <row r="140" spans="1:54" ht="15.75" x14ac:dyDescent="0.25">
      <c r="A140" s="1" t="s">
        <v>22</v>
      </c>
      <c r="B140" s="1">
        <v>2024</v>
      </c>
      <c r="C140" s="1">
        <v>3.605</v>
      </c>
      <c r="D140" s="1">
        <v>4.5350000000000001</v>
      </c>
      <c r="E140" s="1">
        <v>4.0649999999999995</v>
      </c>
      <c r="F140" s="1">
        <v>18.690000000000001</v>
      </c>
      <c r="G140" s="1">
        <v>46.44</v>
      </c>
      <c r="H140" s="1">
        <v>143</v>
      </c>
      <c r="I140" s="1">
        <v>67</v>
      </c>
      <c r="J140" s="1">
        <v>4304</v>
      </c>
      <c r="K140" s="1">
        <v>748</v>
      </c>
      <c r="L140" s="1">
        <v>62605</v>
      </c>
      <c r="M140" s="1">
        <v>7426</v>
      </c>
      <c r="N140" s="1">
        <f t="shared" si="32"/>
        <v>210</v>
      </c>
      <c r="O140" s="1">
        <f t="shared" si="33"/>
        <v>5052</v>
      </c>
      <c r="P140" s="1">
        <f t="shared" si="34"/>
        <v>70031</v>
      </c>
      <c r="Q140" s="1">
        <v>64</v>
      </c>
      <c r="R140" s="1">
        <v>62</v>
      </c>
      <c r="S140" s="1">
        <v>3087</v>
      </c>
      <c r="T140" s="1">
        <v>1062</v>
      </c>
      <c r="U140" s="1">
        <v>44019</v>
      </c>
      <c r="V140" s="1">
        <v>13063</v>
      </c>
      <c r="W140" s="1">
        <f t="shared" si="35"/>
        <v>126</v>
      </c>
      <c r="X140" s="1">
        <f t="shared" si="36"/>
        <v>4149</v>
      </c>
      <c r="Y140" s="1">
        <f t="shared" si="37"/>
        <v>57082</v>
      </c>
      <c r="Z140" s="1">
        <v>8.94</v>
      </c>
      <c r="AA140" s="1">
        <v>8.2899999999999991</v>
      </c>
      <c r="AB140" s="1">
        <f t="shared" si="30"/>
        <v>8.6149999999999984</v>
      </c>
      <c r="AC140" s="1">
        <v>12.81</v>
      </c>
      <c r="AD140" s="1">
        <v>13.08</v>
      </c>
      <c r="AE140" s="1">
        <f t="shared" si="31"/>
        <v>12.945</v>
      </c>
      <c r="AF140" s="1">
        <f t="shared" si="31"/>
        <v>13.012499999999999</v>
      </c>
      <c r="AG140" s="1">
        <v>99.3</v>
      </c>
      <c r="AH140" s="1">
        <v>93.7</v>
      </c>
      <c r="AI140" s="1">
        <v>72.31</v>
      </c>
      <c r="AJ140" s="1">
        <v>29.45</v>
      </c>
      <c r="AK140" s="1">
        <v>2737</v>
      </c>
      <c r="AL140" s="1">
        <v>186</v>
      </c>
      <c r="AM140" s="1">
        <v>2923</v>
      </c>
      <c r="AN140" s="1">
        <v>28001</v>
      </c>
      <c r="AO140" s="1">
        <v>2413</v>
      </c>
      <c r="AP140" s="1">
        <v>30414</v>
      </c>
      <c r="AQ140" s="1">
        <v>315349</v>
      </c>
      <c r="AR140" s="1">
        <v>35716</v>
      </c>
      <c r="AS140" s="1">
        <v>351065</v>
      </c>
      <c r="AT140" s="5">
        <v>522</v>
      </c>
      <c r="AU140" s="5">
        <v>111</v>
      </c>
      <c r="AV140" s="5">
        <v>633</v>
      </c>
      <c r="AW140" s="5">
        <v>8489</v>
      </c>
      <c r="AX140" s="5">
        <v>1170</v>
      </c>
      <c r="AY140" s="5">
        <v>9659</v>
      </c>
      <c r="AZ140" s="5">
        <v>101088</v>
      </c>
      <c r="BA140" s="5">
        <v>13843</v>
      </c>
      <c r="BB140" s="5">
        <v>114931</v>
      </c>
    </row>
    <row r="141" spans="1:54" ht="15.75" x14ac:dyDescent="0.25">
      <c r="A141" s="1" t="s">
        <v>23</v>
      </c>
      <c r="B141" s="1">
        <v>2024</v>
      </c>
      <c r="C141" s="1">
        <v>4.4399999999999995</v>
      </c>
      <c r="D141" s="1">
        <v>8.379999999999999</v>
      </c>
      <c r="E141" s="1">
        <v>5.6449999999999996</v>
      </c>
      <c r="F141" s="1">
        <v>19.350000000000001</v>
      </c>
      <c r="G141" s="1">
        <v>57.68</v>
      </c>
      <c r="H141" s="1">
        <v>146</v>
      </c>
      <c r="I141" s="1">
        <v>95</v>
      </c>
      <c r="J141" s="1">
        <v>4427</v>
      </c>
      <c r="K141" s="1">
        <v>1155</v>
      </c>
      <c r="L141" s="1">
        <v>71034</v>
      </c>
      <c r="M141" s="1">
        <v>13566</v>
      </c>
      <c r="N141" s="1">
        <f t="shared" si="32"/>
        <v>241</v>
      </c>
      <c r="O141" s="1">
        <f t="shared" si="33"/>
        <v>5582</v>
      </c>
      <c r="P141" s="1">
        <f t="shared" si="34"/>
        <v>84600</v>
      </c>
      <c r="Q141" s="1">
        <v>88</v>
      </c>
      <c r="R141" s="1">
        <v>128</v>
      </c>
      <c r="S141" s="1">
        <v>3604</v>
      </c>
      <c r="T141" s="1">
        <v>1808</v>
      </c>
      <c r="U141" s="1">
        <v>55536</v>
      </c>
      <c r="V141" s="1">
        <v>29082</v>
      </c>
      <c r="W141" s="1">
        <f t="shared" si="35"/>
        <v>216</v>
      </c>
      <c r="X141" s="1">
        <f t="shared" si="36"/>
        <v>5412</v>
      </c>
      <c r="Y141" s="1">
        <f t="shared" si="37"/>
        <v>84618</v>
      </c>
      <c r="Z141" s="1">
        <v>10.29</v>
      </c>
      <c r="AA141" s="1">
        <v>9.82</v>
      </c>
      <c r="AB141" s="1">
        <f t="shared" si="30"/>
        <v>10.055</v>
      </c>
      <c r="AC141" s="1">
        <v>13.88</v>
      </c>
      <c r="AD141" s="1">
        <v>14.21</v>
      </c>
      <c r="AE141" s="1">
        <f t="shared" si="31"/>
        <v>14.045000000000002</v>
      </c>
      <c r="AF141" s="1">
        <f t="shared" si="31"/>
        <v>14.127500000000001</v>
      </c>
      <c r="AG141" s="1">
        <v>99.69</v>
      </c>
      <c r="AH141" s="1">
        <v>98.73</v>
      </c>
      <c r="AI141" s="1">
        <v>81.84</v>
      </c>
      <c r="AJ141" s="1">
        <v>33.43</v>
      </c>
      <c r="AK141" s="1">
        <v>1664</v>
      </c>
      <c r="AL141" s="1">
        <v>280</v>
      </c>
      <c r="AM141" s="1">
        <v>1944</v>
      </c>
      <c r="AN141" s="1">
        <v>23145</v>
      </c>
      <c r="AO141" s="1">
        <v>3961</v>
      </c>
      <c r="AP141" s="1">
        <v>27106</v>
      </c>
      <c r="AQ141" s="1">
        <v>352693</v>
      </c>
      <c r="AR141" s="1">
        <v>70396</v>
      </c>
      <c r="AS141" s="1">
        <v>423089</v>
      </c>
      <c r="AT141" s="5">
        <v>459</v>
      </c>
      <c r="AU141" s="5">
        <v>258</v>
      </c>
      <c r="AV141" s="5">
        <v>717</v>
      </c>
      <c r="AW141" s="5">
        <v>8934</v>
      </c>
      <c r="AX141" s="5">
        <v>2357</v>
      </c>
      <c r="AY141" s="5">
        <v>11291</v>
      </c>
      <c r="AZ141" s="5">
        <v>132865</v>
      </c>
      <c r="BA141" s="5">
        <v>32617</v>
      </c>
      <c r="BB141" s="5">
        <v>165482</v>
      </c>
    </row>
    <row r="142" spans="1:54" ht="15.75" x14ac:dyDescent="0.25">
      <c r="A142" s="1" t="s">
        <v>24</v>
      </c>
      <c r="B142" s="1">
        <v>2024</v>
      </c>
      <c r="C142" s="1">
        <v>4.9000000000000004</v>
      </c>
      <c r="D142" s="1">
        <v>7.5950000000000006</v>
      </c>
      <c r="E142" s="1">
        <v>5.85</v>
      </c>
      <c r="F142" s="1">
        <v>16.87</v>
      </c>
      <c r="G142" s="1">
        <v>49.59</v>
      </c>
      <c r="H142" s="1">
        <v>49</v>
      </c>
      <c r="I142" s="1">
        <v>22</v>
      </c>
      <c r="J142" s="1">
        <v>1233</v>
      </c>
      <c r="K142" s="1">
        <v>263</v>
      </c>
      <c r="L142" s="1">
        <v>17242</v>
      </c>
      <c r="M142" s="1">
        <v>2631</v>
      </c>
      <c r="N142" s="1">
        <f t="shared" si="32"/>
        <v>71</v>
      </c>
      <c r="O142" s="1">
        <f t="shared" si="33"/>
        <v>1496</v>
      </c>
      <c r="P142" s="1">
        <f t="shared" si="34"/>
        <v>19873</v>
      </c>
      <c r="Q142" s="1">
        <v>22</v>
      </c>
      <c r="R142" s="1">
        <v>12</v>
      </c>
      <c r="S142" s="1">
        <v>773</v>
      </c>
      <c r="T142" s="1">
        <v>135</v>
      </c>
      <c r="U142" s="1">
        <v>9644</v>
      </c>
      <c r="V142" s="1">
        <v>917</v>
      </c>
      <c r="W142" s="1">
        <f t="shared" si="35"/>
        <v>34</v>
      </c>
      <c r="X142" s="1">
        <f t="shared" si="36"/>
        <v>908</v>
      </c>
      <c r="Y142" s="1">
        <f t="shared" si="37"/>
        <v>10561</v>
      </c>
      <c r="Z142" s="1">
        <v>9.7899999999999991</v>
      </c>
      <c r="AA142" s="1">
        <v>9.2100000000000009</v>
      </c>
      <c r="AB142" s="1">
        <f t="shared" si="30"/>
        <v>9.5</v>
      </c>
      <c r="AC142" s="1">
        <v>12.98</v>
      </c>
      <c r="AD142" s="1">
        <v>13.64</v>
      </c>
      <c r="AE142" s="1">
        <f t="shared" si="31"/>
        <v>13.31</v>
      </c>
      <c r="AF142" s="1">
        <f t="shared" si="31"/>
        <v>13.475000000000001</v>
      </c>
      <c r="AG142" s="1">
        <v>98.97</v>
      </c>
      <c r="AH142" s="1">
        <v>96.57</v>
      </c>
      <c r="AI142" s="1">
        <v>78.89</v>
      </c>
      <c r="AJ142" s="1">
        <v>30.71</v>
      </c>
      <c r="AK142" s="1">
        <v>437</v>
      </c>
      <c r="AL142" s="1">
        <v>49</v>
      </c>
      <c r="AM142" s="1">
        <v>486</v>
      </c>
      <c r="AN142" s="1">
        <v>5552</v>
      </c>
      <c r="AO142" s="1">
        <v>651</v>
      </c>
      <c r="AP142" s="1">
        <v>6203</v>
      </c>
      <c r="AQ142" s="1">
        <v>70242</v>
      </c>
      <c r="AR142" s="1">
        <v>10486</v>
      </c>
      <c r="AS142" s="1">
        <v>80728</v>
      </c>
      <c r="AT142" s="5">
        <v>157</v>
      </c>
      <c r="AU142" s="5">
        <v>41</v>
      </c>
      <c r="AV142" s="5">
        <v>198</v>
      </c>
      <c r="AW142" s="5">
        <v>2598</v>
      </c>
      <c r="AX142" s="5">
        <v>369</v>
      </c>
      <c r="AY142" s="5">
        <v>2967</v>
      </c>
      <c r="AZ142" s="5">
        <v>29610</v>
      </c>
      <c r="BA142" s="5">
        <v>3867</v>
      </c>
      <c r="BB142" s="5">
        <v>33477</v>
      </c>
    </row>
    <row r="143" spans="1:54" ht="15.75" x14ac:dyDescent="0.25">
      <c r="A143" s="1" t="s">
        <v>25</v>
      </c>
      <c r="B143" s="1">
        <v>2024</v>
      </c>
      <c r="C143" s="1">
        <v>4.41</v>
      </c>
      <c r="D143" s="1">
        <v>10.245000000000001</v>
      </c>
      <c r="E143" s="1">
        <v>6.9749999999999996</v>
      </c>
      <c r="F143" s="1">
        <v>28.33</v>
      </c>
      <c r="G143" s="1">
        <v>44.53</v>
      </c>
      <c r="H143" s="1">
        <v>121</v>
      </c>
      <c r="I143" s="1">
        <v>108</v>
      </c>
      <c r="J143" s="1">
        <v>3665</v>
      </c>
      <c r="K143" s="1">
        <v>918</v>
      </c>
      <c r="L143" s="1">
        <v>49737</v>
      </c>
      <c r="M143" s="1">
        <v>12926</v>
      </c>
      <c r="N143" s="1">
        <f t="shared" si="32"/>
        <v>229</v>
      </c>
      <c r="O143" s="1">
        <f t="shared" si="33"/>
        <v>4583</v>
      </c>
      <c r="P143" s="1">
        <f t="shared" si="34"/>
        <v>62663</v>
      </c>
      <c r="Q143" s="1">
        <v>94</v>
      </c>
      <c r="R143" s="1">
        <v>98</v>
      </c>
      <c r="S143" s="1">
        <v>3058</v>
      </c>
      <c r="T143" s="1">
        <v>955</v>
      </c>
      <c r="U143" s="1">
        <v>31186</v>
      </c>
      <c r="V143" s="1">
        <v>11149</v>
      </c>
      <c r="W143" s="1">
        <f t="shared" si="35"/>
        <v>192</v>
      </c>
      <c r="X143" s="1">
        <f t="shared" si="36"/>
        <v>4013</v>
      </c>
      <c r="Y143" s="1">
        <f t="shared" si="37"/>
        <v>42335</v>
      </c>
      <c r="Z143" s="1">
        <v>9.7100000000000009</v>
      </c>
      <c r="AA143" s="1">
        <v>9.9700000000000006</v>
      </c>
      <c r="AB143" s="1">
        <f t="shared" si="30"/>
        <v>9.84</v>
      </c>
      <c r="AC143" s="1">
        <v>12.8</v>
      </c>
      <c r="AD143" s="1">
        <v>13.52</v>
      </c>
      <c r="AE143" s="1">
        <f t="shared" si="31"/>
        <v>13.16</v>
      </c>
      <c r="AF143" s="1">
        <f t="shared" si="31"/>
        <v>13.34</v>
      </c>
      <c r="AG143" s="1">
        <v>99.37</v>
      </c>
      <c r="AH143" s="1">
        <v>96.24</v>
      </c>
      <c r="AI143" s="1">
        <v>72.48</v>
      </c>
      <c r="AJ143" s="1">
        <v>25.83</v>
      </c>
      <c r="AK143" s="1">
        <v>1349</v>
      </c>
      <c r="AL143" s="1">
        <v>861</v>
      </c>
      <c r="AM143" s="1">
        <v>2210</v>
      </c>
      <c r="AN143" s="1">
        <v>14897</v>
      </c>
      <c r="AO143" s="1">
        <v>5529</v>
      </c>
      <c r="AP143" s="1">
        <v>20426</v>
      </c>
      <c r="AQ143" s="1">
        <v>137150</v>
      </c>
      <c r="AR143" s="1">
        <v>82629</v>
      </c>
      <c r="AS143" s="1">
        <v>219779</v>
      </c>
      <c r="AT143" s="5">
        <v>478</v>
      </c>
      <c r="AU143" s="5">
        <v>256</v>
      </c>
      <c r="AV143" s="5">
        <v>734</v>
      </c>
      <c r="AW143" s="5">
        <v>8489</v>
      </c>
      <c r="AX143" s="5">
        <v>1833</v>
      </c>
      <c r="AY143" s="5">
        <v>10322</v>
      </c>
      <c r="AZ143" s="5">
        <v>72985</v>
      </c>
      <c r="BA143" s="5">
        <v>23655</v>
      </c>
      <c r="BB143" s="5">
        <v>96640</v>
      </c>
    </row>
    <row r="144" spans="1:54" ht="15.75" x14ac:dyDescent="0.25">
      <c r="A144" s="1" t="s">
        <v>26</v>
      </c>
      <c r="B144" s="1">
        <v>2024</v>
      </c>
      <c r="C144" s="1">
        <v>7.9749999999999996</v>
      </c>
      <c r="D144" s="1">
        <v>13.115</v>
      </c>
      <c r="E144" s="1">
        <v>11.404999999999999</v>
      </c>
      <c r="F144" s="1">
        <v>20.67</v>
      </c>
      <c r="G144" s="1">
        <v>34.57</v>
      </c>
      <c r="H144" s="1">
        <v>177</v>
      </c>
      <c r="I144" s="1">
        <v>61</v>
      </c>
      <c r="J144" s="1">
        <v>5314</v>
      </c>
      <c r="K144" s="1">
        <v>581</v>
      </c>
      <c r="L144" s="1">
        <v>72634</v>
      </c>
      <c r="M144" s="1">
        <v>6949</v>
      </c>
      <c r="N144" s="1">
        <f t="shared" si="32"/>
        <v>238</v>
      </c>
      <c r="O144" s="1">
        <f t="shared" si="33"/>
        <v>5895</v>
      </c>
      <c r="P144" s="1">
        <f t="shared" si="34"/>
        <v>79583</v>
      </c>
      <c r="Q144" s="1">
        <v>107</v>
      </c>
      <c r="R144" s="1">
        <v>76</v>
      </c>
      <c r="S144" s="1">
        <v>3264</v>
      </c>
      <c r="T144" s="1">
        <v>726</v>
      </c>
      <c r="U144" s="1">
        <v>31647</v>
      </c>
      <c r="V144" s="1">
        <v>9210</v>
      </c>
      <c r="W144" s="1">
        <f t="shared" si="35"/>
        <v>183</v>
      </c>
      <c r="X144" s="1">
        <f t="shared" si="36"/>
        <v>3990</v>
      </c>
      <c r="Y144" s="1">
        <f t="shared" si="37"/>
        <v>40857</v>
      </c>
      <c r="Z144" s="1">
        <v>9.16</v>
      </c>
      <c r="AA144" s="1">
        <v>8.9499999999999993</v>
      </c>
      <c r="AB144" s="1">
        <f t="shared" si="30"/>
        <v>9.0549999999999997</v>
      </c>
      <c r="AC144" s="1">
        <v>13.18</v>
      </c>
      <c r="AD144" s="1">
        <v>13.84</v>
      </c>
      <c r="AE144" s="1">
        <f t="shared" si="31"/>
        <v>13.51</v>
      </c>
      <c r="AF144" s="1">
        <f t="shared" si="31"/>
        <v>13.675000000000001</v>
      </c>
      <c r="AG144" s="1">
        <v>98.47</v>
      </c>
      <c r="AH144" s="1">
        <v>94.12</v>
      </c>
      <c r="AI144" s="1">
        <v>74.16</v>
      </c>
      <c r="AJ144" s="1">
        <v>30.38</v>
      </c>
      <c r="AK144" s="1">
        <v>2676</v>
      </c>
      <c r="AL144" s="1">
        <v>273</v>
      </c>
      <c r="AM144" s="1">
        <v>2949</v>
      </c>
      <c r="AN144" s="1">
        <v>27928</v>
      </c>
      <c r="AO144" s="1">
        <v>2111</v>
      </c>
      <c r="AP144" s="1">
        <v>30039</v>
      </c>
      <c r="AQ144" s="1">
        <v>287380</v>
      </c>
      <c r="AR144" s="1">
        <v>28740</v>
      </c>
      <c r="AS144" s="1">
        <v>316120</v>
      </c>
      <c r="AT144" s="5">
        <v>735</v>
      </c>
      <c r="AU144" s="5">
        <v>148</v>
      </c>
      <c r="AV144" s="5">
        <v>883</v>
      </c>
      <c r="AW144" s="5">
        <v>11583</v>
      </c>
      <c r="AX144" s="5">
        <v>965</v>
      </c>
      <c r="AY144" s="5">
        <v>12548</v>
      </c>
      <c r="AZ144" s="5">
        <v>101269</v>
      </c>
      <c r="BA144" s="5">
        <v>11296</v>
      </c>
      <c r="BB144" s="5">
        <v>112565</v>
      </c>
    </row>
    <row r="145" spans="1:54" ht="15.75" x14ac:dyDescent="0.25">
      <c r="A145" s="1" t="s">
        <v>27</v>
      </c>
      <c r="B145" s="1">
        <v>2024</v>
      </c>
      <c r="C145" s="1">
        <v>5.1449999999999996</v>
      </c>
      <c r="D145" s="1">
        <v>10.425000000000001</v>
      </c>
      <c r="E145" s="1">
        <v>7.915</v>
      </c>
      <c r="F145" s="1">
        <v>21.65</v>
      </c>
      <c r="G145" s="1">
        <v>39.5</v>
      </c>
      <c r="H145" s="1">
        <v>337</v>
      </c>
      <c r="I145" s="1">
        <v>274</v>
      </c>
      <c r="J145" s="1">
        <v>13276</v>
      </c>
      <c r="K145" s="1">
        <v>2719</v>
      </c>
      <c r="L145" s="1">
        <v>193112</v>
      </c>
      <c r="M145" s="1">
        <v>35470</v>
      </c>
      <c r="N145" s="1">
        <f t="shared" si="32"/>
        <v>611</v>
      </c>
      <c r="O145" s="1">
        <f t="shared" si="33"/>
        <v>15995</v>
      </c>
      <c r="P145" s="1">
        <f t="shared" si="34"/>
        <v>228582</v>
      </c>
      <c r="Q145" s="1">
        <v>168</v>
      </c>
      <c r="R145" s="1">
        <v>238</v>
      </c>
      <c r="S145" s="1">
        <v>7811</v>
      </c>
      <c r="T145" s="1">
        <v>2378</v>
      </c>
      <c r="U145" s="1">
        <v>86042</v>
      </c>
      <c r="V145" s="1">
        <v>29983</v>
      </c>
      <c r="W145" s="1">
        <f t="shared" si="35"/>
        <v>406</v>
      </c>
      <c r="X145" s="1">
        <f t="shared" si="36"/>
        <v>10189</v>
      </c>
      <c r="Y145" s="1">
        <f t="shared" si="37"/>
        <v>116025</v>
      </c>
      <c r="Z145" s="1">
        <v>8.99</v>
      </c>
      <c r="AA145" s="1">
        <v>8.74</v>
      </c>
      <c r="AB145" s="1">
        <f t="shared" si="30"/>
        <v>8.8650000000000002</v>
      </c>
      <c r="AC145" s="1">
        <v>13.43</v>
      </c>
      <c r="AD145" s="1">
        <v>13.9</v>
      </c>
      <c r="AE145" s="1">
        <f t="shared" si="31"/>
        <v>13.664999999999999</v>
      </c>
      <c r="AF145" s="1">
        <f t="shared" si="31"/>
        <v>13.782499999999999</v>
      </c>
      <c r="AG145" s="1">
        <v>99.5</v>
      </c>
      <c r="AH145" s="1">
        <v>93.41</v>
      </c>
      <c r="AI145" s="1">
        <v>73.17</v>
      </c>
      <c r="AJ145" s="1">
        <v>37.020000000000003</v>
      </c>
      <c r="AK145" s="1">
        <v>6071</v>
      </c>
      <c r="AL145" s="1">
        <v>381</v>
      </c>
      <c r="AM145" s="1">
        <v>6452</v>
      </c>
      <c r="AN145" s="1">
        <v>65769</v>
      </c>
      <c r="AO145" s="1">
        <v>5255</v>
      </c>
      <c r="AP145" s="1">
        <v>71024</v>
      </c>
      <c r="AQ145" s="1">
        <v>802533</v>
      </c>
      <c r="AR145" s="1">
        <v>76723</v>
      </c>
      <c r="AS145" s="1">
        <v>879256</v>
      </c>
      <c r="AT145" s="5">
        <v>1269</v>
      </c>
      <c r="AU145" s="5">
        <v>462</v>
      </c>
      <c r="AV145" s="5">
        <v>1731</v>
      </c>
      <c r="AW145" s="5">
        <v>25810</v>
      </c>
      <c r="AX145" s="5">
        <v>4240</v>
      </c>
      <c r="AY145" s="5">
        <v>30050</v>
      </c>
      <c r="AZ145" s="5">
        <v>283404</v>
      </c>
      <c r="BA145" s="5">
        <v>53194</v>
      </c>
      <c r="BB145" s="5">
        <v>336598</v>
      </c>
    </row>
    <row r="146" spans="1:54" ht="15.75" x14ac:dyDescent="0.25">
      <c r="A146" s="1" t="s">
        <v>28</v>
      </c>
      <c r="B146" s="1">
        <v>2024</v>
      </c>
      <c r="C146" s="1">
        <v>7.1150000000000002</v>
      </c>
      <c r="D146" s="1">
        <v>13.335000000000001</v>
      </c>
      <c r="E146" s="1">
        <v>10.920000000000002</v>
      </c>
      <c r="F146" s="1">
        <v>19.78</v>
      </c>
      <c r="G146" s="1">
        <v>38.08</v>
      </c>
      <c r="H146" s="1">
        <v>254</v>
      </c>
      <c r="I146" s="1">
        <v>64</v>
      </c>
      <c r="J146" s="1">
        <v>8814</v>
      </c>
      <c r="K146" s="1">
        <v>519</v>
      </c>
      <c r="L146" s="1">
        <v>88188</v>
      </c>
      <c r="M146" s="1">
        <v>4771</v>
      </c>
      <c r="N146" s="1">
        <f t="shared" si="32"/>
        <v>318</v>
      </c>
      <c r="O146" s="1">
        <f t="shared" si="33"/>
        <v>9333</v>
      </c>
      <c r="P146" s="1">
        <f t="shared" si="34"/>
        <v>92959</v>
      </c>
      <c r="Q146" s="1">
        <v>103</v>
      </c>
      <c r="R146" s="1">
        <v>67</v>
      </c>
      <c r="S146" s="1">
        <v>3901</v>
      </c>
      <c r="T146" s="1">
        <v>632</v>
      </c>
      <c r="U146" s="1">
        <v>27916</v>
      </c>
      <c r="V146" s="1">
        <v>4824</v>
      </c>
      <c r="W146" s="1">
        <f t="shared" si="35"/>
        <v>170</v>
      </c>
      <c r="X146" s="1">
        <f t="shared" si="36"/>
        <v>4533</v>
      </c>
      <c r="Y146" s="1">
        <f t="shared" si="37"/>
        <v>32740</v>
      </c>
      <c r="Z146" s="1">
        <v>9.66</v>
      </c>
      <c r="AA146" s="1">
        <v>9.18</v>
      </c>
      <c r="AB146" s="1">
        <f t="shared" si="30"/>
        <v>9.42</v>
      </c>
      <c r="AC146" s="1">
        <v>13.68</v>
      </c>
      <c r="AD146" s="1">
        <v>13.99</v>
      </c>
      <c r="AE146" s="1">
        <f t="shared" si="31"/>
        <v>13.835000000000001</v>
      </c>
      <c r="AF146" s="1">
        <f t="shared" si="31"/>
        <v>13.912500000000001</v>
      </c>
      <c r="AG146" s="1">
        <v>99.06</v>
      </c>
      <c r="AH146" s="1">
        <v>95.76</v>
      </c>
      <c r="AI146" s="1">
        <v>75.73</v>
      </c>
      <c r="AJ146" s="1">
        <v>33.369999999999997</v>
      </c>
      <c r="AK146" s="1">
        <v>2265</v>
      </c>
      <c r="AL146" s="1">
        <v>87</v>
      </c>
      <c r="AM146" s="1">
        <v>2352</v>
      </c>
      <c r="AN146" s="1">
        <v>28657</v>
      </c>
      <c r="AO146" s="1">
        <v>860</v>
      </c>
      <c r="AP146" s="1">
        <v>29517</v>
      </c>
      <c r="AQ146" s="1">
        <v>282647</v>
      </c>
      <c r="AR146" s="1">
        <v>14089</v>
      </c>
      <c r="AS146" s="1">
        <v>296736</v>
      </c>
      <c r="AT146" s="5">
        <v>699</v>
      </c>
      <c r="AU146" s="5">
        <v>96</v>
      </c>
      <c r="AV146" s="5">
        <v>795</v>
      </c>
      <c r="AW146" s="5">
        <v>14331</v>
      </c>
      <c r="AX146" s="5">
        <v>756</v>
      </c>
      <c r="AY146" s="5">
        <v>15087</v>
      </c>
      <c r="AZ146" s="5">
        <v>107257</v>
      </c>
      <c r="BA146" s="5">
        <v>7711</v>
      </c>
      <c r="BB146" s="5">
        <v>114968</v>
      </c>
    </row>
    <row r="147" spans="1:54" ht="15.75" x14ac:dyDescent="0.25">
      <c r="A147" s="1" t="s">
        <v>29</v>
      </c>
      <c r="B147" s="1">
        <v>2024</v>
      </c>
      <c r="C147" s="1">
        <v>4.78</v>
      </c>
      <c r="D147" s="1">
        <v>22.295000000000002</v>
      </c>
      <c r="E147" s="1">
        <v>14.219999999999999</v>
      </c>
      <c r="F147" s="1">
        <v>21.89</v>
      </c>
      <c r="G147" s="1">
        <v>38.549999999999997</v>
      </c>
      <c r="H147" s="1">
        <v>62</v>
      </c>
      <c r="I147" s="1">
        <v>9</v>
      </c>
      <c r="J147" s="1">
        <v>1911</v>
      </c>
      <c r="K147" s="1">
        <v>109</v>
      </c>
      <c r="L147" s="1">
        <v>30073</v>
      </c>
      <c r="M147" s="1">
        <v>1211</v>
      </c>
      <c r="N147" s="1">
        <f t="shared" si="32"/>
        <v>71</v>
      </c>
      <c r="O147" s="1">
        <f t="shared" si="33"/>
        <v>2020</v>
      </c>
      <c r="P147" s="1">
        <f t="shared" si="34"/>
        <v>31284</v>
      </c>
      <c r="Q147" s="1">
        <v>40</v>
      </c>
      <c r="R147" s="1">
        <v>19</v>
      </c>
      <c r="S147" s="1">
        <v>1464</v>
      </c>
      <c r="T147" s="1">
        <v>269</v>
      </c>
      <c r="U147" s="1">
        <v>13092</v>
      </c>
      <c r="V147" s="1">
        <v>2097</v>
      </c>
      <c r="W147" s="1">
        <f t="shared" si="35"/>
        <v>59</v>
      </c>
      <c r="X147" s="1">
        <f t="shared" si="36"/>
        <v>1733</v>
      </c>
      <c r="Y147" s="1">
        <f t="shared" si="37"/>
        <v>15189</v>
      </c>
      <c r="Z147" s="1">
        <v>7.88</v>
      </c>
      <c r="AA147" s="1">
        <v>8.6999999999999993</v>
      </c>
      <c r="AB147" s="1">
        <f t="shared" si="30"/>
        <v>8.2899999999999991</v>
      </c>
      <c r="AC147" s="1">
        <v>12.87</v>
      </c>
      <c r="AD147" s="1">
        <v>13.85</v>
      </c>
      <c r="AE147" s="1">
        <f t="shared" si="31"/>
        <v>13.36</v>
      </c>
      <c r="AF147" s="1">
        <f t="shared" si="31"/>
        <v>13.605</v>
      </c>
      <c r="AG147" s="1">
        <v>98.79</v>
      </c>
      <c r="AH147" s="1">
        <v>91.35</v>
      </c>
      <c r="AI147" s="1">
        <v>72.7</v>
      </c>
      <c r="AJ147" s="1">
        <v>34.43</v>
      </c>
      <c r="AK147" s="1">
        <v>897</v>
      </c>
      <c r="AL147" s="1">
        <v>36</v>
      </c>
      <c r="AM147" s="1">
        <v>933</v>
      </c>
      <c r="AN147" s="1">
        <v>8400</v>
      </c>
      <c r="AO147" s="1">
        <v>332</v>
      </c>
      <c r="AP147" s="1">
        <v>8732</v>
      </c>
      <c r="AQ147" s="1">
        <v>103294</v>
      </c>
      <c r="AR147" s="1">
        <v>5077</v>
      </c>
      <c r="AS147" s="1">
        <v>108371</v>
      </c>
      <c r="AT147" s="5">
        <v>313</v>
      </c>
      <c r="AU147" s="5">
        <v>31</v>
      </c>
      <c r="AV147" s="5">
        <v>344</v>
      </c>
      <c r="AW147" s="5">
        <v>4174</v>
      </c>
      <c r="AX147" s="5">
        <v>238</v>
      </c>
      <c r="AY147" s="5">
        <v>4412</v>
      </c>
      <c r="AZ147" s="5">
        <v>38500</v>
      </c>
      <c r="BA147" s="5">
        <v>2340</v>
      </c>
      <c r="BB147" s="5">
        <v>40840</v>
      </c>
    </row>
    <row r="148" spans="1:54" ht="15.75" x14ac:dyDescent="0.25">
      <c r="A148" s="1" t="s">
        <v>30</v>
      </c>
      <c r="B148" s="1">
        <v>2024</v>
      </c>
      <c r="C148" s="1">
        <v>8.8099999999999987</v>
      </c>
      <c r="D148" s="1">
        <v>11.51</v>
      </c>
      <c r="E148" s="1">
        <v>10.96</v>
      </c>
      <c r="F148" s="1">
        <v>20.25</v>
      </c>
      <c r="G148" s="1">
        <v>27.92</v>
      </c>
      <c r="H148" s="1">
        <v>77</v>
      </c>
      <c r="I148" s="1">
        <v>16</v>
      </c>
      <c r="J148" s="1">
        <v>2389</v>
      </c>
      <c r="K148" s="1">
        <v>91</v>
      </c>
      <c r="L148" s="1">
        <v>28967</v>
      </c>
      <c r="M148" s="1">
        <v>1387</v>
      </c>
      <c r="N148" s="1">
        <f t="shared" si="32"/>
        <v>93</v>
      </c>
      <c r="O148" s="1">
        <f t="shared" si="33"/>
        <v>2480</v>
      </c>
      <c r="P148" s="1">
        <f t="shared" si="34"/>
        <v>30354</v>
      </c>
      <c r="Q148" s="1">
        <v>60</v>
      </c>
      <c r="R148" s="1">
        <v>68</v>
      </c>
      <c r="S148" s="1">
        <v>2002</v>
      </c>
      <c r="T148" s="1">
        <v>547</v>
      </c>
      <c r="U148" s="1">
        <v>17736</v>
      </c>
      <c r="V148" s="1">
        <v>5810</v>
      </c>
      <c r="W148" s="1">
        <f t="shared" si="35"/>
        <v>128</v>
      </c>
      <c r="X148" s="1">
        <f t="shared" si="36"/>
        <v>2549</v>
      </c>
      <c r="Y148" s="1">
        <f t="shared" si="37"/>
        <v>23546</v>
      </c>
      <c r="Z148" s="1">
        <v>8.3699999999999992</v>
      </c>
      <c r="AA148" s="1">
        <v>8.0500000000000007</v>
      </c>
      <c r="AB148" s="1">
        <f t="shared" si="30"/>
        <v>8.2100000000000009</v>
      </c>
      <c r="AC148" s="1">
        <v>12.78</v>
      </c>
      <c r="AD148" s="1">
        <v>13.29</v>
      </c>
      <c r="AE148" s="1">
        <f t="shared" si="31"/>
        <v>13.035</v>
      </c>
      <c r="AF148" s="1">
        <f t="shared" si="31"/>
        <v>13.1625</v>
      </c>
      <c r="AG148" s="1">
        <v>98.49</v>
      </c>
      <c r="AH148" s="1">
        <v>91.24</v>
      </c>
      <c r="AI148" s="1">
        <v>72.09</v>
      </c>
      <c r="AJ148" s="1">
        <v>25.32</v>
      </c>
      <c r="AK148" s="1">
        <v>1296</v>
      </c>
      <c r="AL148" s="1">
        <v>32</v>
      </c>
      <c r="AM148" s="1">
        <v>1328</v>
      </c>
      <c r="AN148" s="1">
        <v>14826</v>
      </c>
      <c r="AO148" s="1">
        <v>334</v>
      </c>
      <c r="AP148" s="1">
        <v>15160</v>
      </c>
      <c r="AQ148" s="1">
        <v>138333</v>
      </c>
      <c r="AR148" s="1">
        <v>5114</v>
      </c>
      <c r="AS148" s="1">
        <v>143447</v>
      </c>
      <c r="AT148" s="5">
        <v>319</v>
      </c>
      <c r="AU148" s="5">
        <v>63</v>
      </c>
      <c r="AV148" s="5">
        <v>382</v>
      </c>
      <c r="AW148" s="5">
        <v>5464</v>
      </c>
      <c r="AX148" s="5">
        <v>426</v>
      </c>
      <c r="AY148" s="5">
        <v>5890</v>
      </c>
      <c r="AZ148" s="5">
        <v>46691</v>
      </c>
      <c r="BA148" s="5">
        <v>4847</v>
      </c>
      <c r="BB148" s="5">
        <v>51538</v>
      </c>
    </row>
    <row r="149" spans="1:54" ht="15.75" x14ac:dyDescent="0.25">
      <c r="A149" s="1" t="s">
        <v>31</v>
      </c>
      <c r="B149" s="1">
        <v>2024</v>
      </c>
      <c r="C149" s="1">
        <v>4.8650000000000002</v>
      </c>
      <c r="D149" s="1">
        <v>24.754999999999999</v>
      </c>
      <c r="E149" s="1">
        <v>15.914999999999999</v>
      </c>
      <c r="F149" s="1">
        <v>29.43</v>
      </c>
      <c r="G149" s="1">
        <v>34.96</v>
      </c>
      <c r="H149" s="1">
        <v>216</v>
      </c>
      <c r="I149" s="1">
        <v>76</v>
      </c>
      <c r="J149" s="1">
        <v>5533</v>
      </c>
      <c r="K149" s="1">
        <v>1110</v>
      </c>
      <c r="L149" s="1">
        <v>57642</v>
      </c>
      <c r="M149" s="1">
        <v>11137</v>
      </c>
      <c r="N149" s="1">
        <f t="shared" si="32"/>
        <v>292</v>
      </c>
      <c r="O149" s="1">
        <f t="shared" si="33"/>
        <v>6643</v>
      </c>
      <c r="P149" s="1">
        <f t="shared" si="34"/>
        <v>68779</v>
      </c>
      <c r="Q149" s="1">
        <v>84</v>
      </c>
      <c r="R149" s="1">
        <v>37</v>
      </c>
      <c r="S149" s="1">
        <v>2241</v>
      </c>
      <c r="T149" s="1">
        <v>512</v>
      </c>
      <c r="U149" s="1">
        <v>15089</v>
      </c>
      <c r="V149" s="1">
        <v>5678</v>
      </c>
      <c r="W149" s="1">
        <f t="shared" si="35"/>
        <v>121</v>
      </c>
      <c r="X149" s="1">
        <f t="shared" si="36"/>
        <v>2753</v>
      </c>
      <c r="Y149" s="1">
        <f t="shared" si="37"/>
        <v>20767</v>
      </c>
      <c r="Z149" s="1">
        <v>10.32</v>
      </c>
      <c r="AA149" s="1">
        <v>10.210000000000001</v>
      </c>
      <c r="AB149" s="1">
        <f t="shared" si="30"/>
        <v>10.265000000000001</v>
      </c>
      <c r="AC149" s="1">
        <v>13.88</v>
      </c>
      <c r="AD149" s="1">
        <v>14.45</v>
      </c>
      <c r="AE149" s="1">
        <f t="shared" si="31"/>
        <v>14.164999999999999</v>
      </c>
      <c r="AF149" s="1">
        <f t="shared" si="31"/>
        <v>14.307499999999999</v>
      </c>
      <c r="AG149" s="1">
        <v>99.49</v>
      </c>
      <c r="AH149" s="1">
        <v>97.83</v>
      </c>
      <c r="AI149" s="1">
        <v>77.7</v>
      </c>
      <c r="AJ149" s="1">
        <v>39.58</v>
      </c>
      <c r="AK149" s="1">
        <v>1299</v>
      </c>
      <c r="AL149" s="1">
        <v>537</v>
      </c>
      <c r="AM149" s="1">
        <v>1836</v>
      </c>
      <c r="AN149" s="1">
        <v>15827</v>
      </c>
      <c r="AO149" s="1">
        <v>3383</v>
      </c>
      <c r="AP149" s="1">
        <v>19210</v>
      </c>
      <c r="AQ149" s="1">
        <v>148643</v>
      </c>
      <c r="AR149" s="1">
        <v>55552</v>
      </c>
      <c r="AS149" s="1">
        <v>204195</v>
      </c>
      <c r="AT149" s="5">
        <v>561</v>
      </c>
      <c r="AU149" s="5">
        <v>144</v>
      </c>
      <c r="AV149" s="5">
        <v>705</v>
      </c>
      <c r="AW149" s="5">
        <v>10304</v>
      </c>
      <c r="AX149" s="5">
        <v>1130</v>
      </c>
      <c r="AY149" s="5">
        <v>11434</v>
      </c>
      <c r="AZ149" s="5">
        <v>74258</v>
      </c>
      <c r="BA149" s="5">
        <v>15582</v>
      </c>
      <c r="BB149" s="5">
        <v>89840</v>
      </c>
    </row>
    <row r="150" spans="1:54" ht="15.75" x14ac:dyDescent="0.25">
      <c r="A150" s="1" t="s">
        <v>32</v>
      </c>
      <c r="B150" s="1">
        <v>2024</v>
      </c>
      <c r="C150" s="1">
        <v>6.1950000000000003</v>
      </c>
      <c r="D150" s="1">
        <v>6.17</v>
      </c>
      <c r="E150" s="1">
        <v>6.1750000000000007</v>
      </c>
      <c r="F150" s="1">
        <v>27.85</v>
      </c>
      <c r="G150" s="1">
        <v>35.24</v>
      </c>
      <c r="H150" s="1">
        <v>139</v>
      </c>
      <c r="I150" s="1">
        <v>86</v>
      </c>
      <c r="J150" s="1">
        <v>3446</v>
      </c>
      <c r="K150" s="1">
        <v>591</v>
      </c>
      <c r="L150" s="1">
        <v>36392</v>
      </c>
      <c r="M150" s="1">
        <v>9191</v>
      </c>
      <c r="N150" s="1">
        <f t="shared" si="32"/>
        <v>225</v>
      </c>
      <c r="O150" s="1">
        <f t="shared" si="33"/>
        <v>4037</v>
      </c>
      <c r="P150" s="1">
        <f t="shared" si="34"/>
        <v>45583</v>
      </c>
      <c r="Q150" s="1">
        <v>63</v>
      </c>
      <c r="R150" s="1">
        <v>88</v>
      </c>
      <c r="S150" s="1">
        <v>1448</v>
      </c>
      <c r="T150" s="1">
        <v>617</v>
      </c>
      <c r="U150" s="1">
        <v>9251</v>
      </c>
      <c r="V150" s="1">
        <v>9153</v>
      </c>
      <c r="W150" s="1">
        <f t="shared" si="35"/>
        <v>151</v>
      </c>
      <c r="X150" s="1">
        <f t="shared" si="36"/>
        <v>2065</v>
      </c>
      <c r="Y150" s="1">
        <f t="shared" si="37"/>
        <v>18404</v>
      </c>
      <c r="Z150" s="1">
        <v>9.6</v>
      </c>
      <c r="AA150" s="1">
        <v>9.14</v>
      </c>
      <c r="AB150" s="1">
        <f t="shared" si="30"/>
        <v>9.370000000000001</v>
      </c>
      <c r="AC150" s="1">
        <v>13.77</v>
      </c>
      <c r="AD150" s="1">
        <v>13.75</v>
      </c>
      <c r="AE150" s="1">
        <f t="shared" si="31"/>
        <v>13.76</v>
      </c>
      <c r="AF150" s="1">
        <f t="shared" si="31"/>
        <v>13.754999999999999</v>
      </c>
      <c r="AG150" s="1">
        <v>99.11</v>
      </c>
      <c r="AH150" s="1">
        <v>96.68</v>
      </c>
      <c r="AI150" s="1">
        <v>76.02</v>
      </c>
      <c r="AJ150" s="1">
        <v>29.5</v>
      </c>
      <c r="AK150" s="1">
        <v>1116</v>
      </c>
      <c r="AL150" s="1">
        <v>202</v>
      </c>
      <c r="AM150" s="1">
        <v>1318</v>
      </c>
      <c r="AN150" s="1">
        <v>12514</v>
      </c>
      <c r="AO150" s="1">
        <v>1182</v>
      </c>
      <c r="AP150" s="1">
        <v>13696</v>
      </c>
      <c r="AQ150" s="1">
        <v>118093</v>
      </c>
      <c r="AR150" s="1">
        <v>22598</v>
      </c>
      <c r="AS150" s="1">
        <v>140691</v>
      </c>
      <c r="AT150" s="5">
        <v>380</v>
      </c>
      <c r="AU150" s="5">
        <v>143</v>
      </c>
      <c r="AV150" s="5">
        <v>523</v>
      </c>
      <c r="AW150" s="5">
        <v>6438</v>
      </c>
      <c r="AX150" s="5">
        <v>886</v>
      </c>
      <c r="AY150" s="5">
        <v>7324</v>
      </c>
      <c r="AZ150" s="5">
        <v>46495</v>
      </c>
      <c r="BA150" s="5">
        <v>12445</v>
      </c>
      <c r="BB150" s="5">
        <v>58940</v>
      </c>
    </row>
    <row r="151" spans="1:54" ht="15.75" x14ac:dyDescent="0.25">
      <c r="A151" s="1" t="s">
        <v>33</v>
      </c>
      <c r="B151" s="1">
        <v>2024</v>
      </c>
      <c r="C151" s="1">
        <f>8.835/2</f>
        <v>4.4175000000000004</v>
      </c>
      <c r="D151" s="1">
        <f>27.01/2</f>
        <v>13.505000000000001</v>
      </c>
      <c r="E151" s="1">
        <f>21.375/2</f>
        <v>10.6875</v>
      </c>
      <c r="F151" s="1">
        <v>26.93</v>
      </c>
      <c r="G151" s="1">
        <v>37.130000000000003</v>
      </c>
      <c r="H151" s="1">
        <v>45</v>
      </c>
      <c r="I151" s="1">
        <v>21</v>
      </c>
      <c r="J151" s="1">
        <v>1062</v>
      </c>
      <c r="K151" s="1">
        <v>316</v>
      </c>
      <c r="L151" s="1">
        <v>13742</v>
      </c>
      <c r="M151" s="1">
        <v>3499</v>
      </c>
      <c r="N151" s="1">
        <f t="shared" si="32"/>
        <v>66</v>
      </c>
      <c r="O151" s="1">
        <f t="shared" si="33"/>
        <v>1378</v>
      </c>
      <c r="P151" s="1">
        <f t="shared" si="34"/>
        <v>17241</v>
      </c>
      <c r="Q151" s="1">
        <v>16</v>
      </c>
      <c r="R151" s="1">
        <v>5</v>
      </c>
      <c r="S151" s="1">
        <v>552</v>
      </c>
      <c r="T151" s="1">
        <v>105</v>
      </c>
      <c r="U151" s="1">
        <v>5193</v>
      </c>
      <c r="V151" s="1">
        <v>1426</v>
      </c>
      <c r="W151" s="1">
        <f t="shared" si="35"/>
        <v>21</v>
      </c>
      <c r="X151" s="1">
        <f t="shared" si="36"/>
        <v>657</v>
      </c>
      <c r="Y151" s="1">
        <f t="shared" si="37"/>
        <v>6619</v>
      </c>
      <c r="Z151" s="1">
        <v>10.26</v>
      </c>
      <c r="AA151" s="1">
        <v>7.48</v>
      </c>
      <c r="AB151" s="1">
        <f t="shared" si="30"/>
        <v>8.870000000000001</v>
      </c>
      <c r="AC151" s="1">
        <v>13.2</v>
      </c>
      <c r="AD151" s="1">
        <v>13.1</v>
      </c>
      <c r="AE151" s="1">
        <f t="shared" si="31"/>
        <v>13.149999999999999</v>
      </c>
      <c r="AF151" s="1">
        <f t="shared" si="31"/>
        <v>13.125</v>
      </c>
      <c r="AG151" s="1">
        <v>97.6</v>
      </c>
      <c r="AH151" s="1">
        <v>95.61</v>
      </c>
      <c r="AI151" s="1">
        <v>75.319999999999993</v>
      </c>
      <c r="AJ151" s="1">
        <v>31.18</v>
      </c>
      <c r="AK151" s="1">
        <v>412</v>
      </c>
      <c r="AL151" s="1">
        <v>162</v>
      </c>
      <c r="AM151" s="1">
        <v>574</v>
      </c>
      <c r="AN151" s="1">
        <v>4302</v>
      </c>
      <c r="AO151" s="1">
        <v>1412</v>
      </c>
      <c r="AP151" s="1">
        <v>5714</v>
      </c>
      <c r="AQ151" s="1">
        <v>48552</v>
      </c>
      <c r="AR151" s="1">
        <v>22759</v>
      </c>
      <c r="AS151" s="1">
        <v>71311</v>
      </c>
      <c r="AT151" s="5">
        <v>126</v>
      </c>
      <c r="AU151" s="5">
        <v>39</v>
      </c>
      <c r="AV151" s="5">
        <v>165</v>
      </c>
      <c r="AW151" s="5">
        <v>1984</v>
      </c>
      <c r="AX151" s="5">
        <v>492</v>
      </c>
      <c r="AY151" s="5">
        <v>2476</v>
      </c>
      <c r="AZ151" s="5">
        <v>21791</v>
      </c>
      <c r="BA151" s="5">
        <v>6834</v>
      </c>
      <c r="BB151" s="5">
        <v>28625</v>
      </c>
    </row>
    <row r="152" spans="1:54" ht="15.75" x14ac:dyDescent="0.25">
      <c r="A152" s="1" t="s">
        <v>34</v>
      </c>
      <c r="B152" s="1">
        <v>2024</v>
      </c>
      <c r="C152" s="1">
        <f>8.835/2</f>
        <v>4.4175000000000004</v>
      </c>
      <c r="D152" s="1">
        <f>27.01/2</f>
        <v>13.505000000000001</v>
      </c>
      <c r="E152" s="1">
        <f>21.375/2</f>
        <v>10.6875</v>
      </c>
      <c r="F152" s="1">
        <v>25.04</v>
      </c>
      <c r="G152" s="1">
        <v>43.04</v>
      </c>
      <c r="H152" s="1">
        <v>50</v>
      </c>
      <c r="I152" s="1">
        <v>31</v>
      </c>
      <c r="J152" s="1">
        <v>1101</v>
      </c>
      <c r="K152" s="1">
        <v>352</v>
      </c>
      <c r="L152" s="1">
        <v>11106</v>
      </c>
      <c r="M152" s="1">
        <v>3541</v>
      </c>
      <c r="N152" s="1">
        <f t="shared" si="32"/>
        <v>81</v>
      </c>
      <c r="O152" s="1">
        <f t="shared" si="33"/>
        <v>1453</v>
      </c>
      <c r="P152" s="1">
        <f t="shared" si="34"/>
        <v>14647</v>
      </c>
      <c r="Q152" s="1">
        <v>16</v>
      </c>
      <c r="R152" s="1">
        <v>23</v>
      </c>
      <c r="S152" s="1">
        <v>556</v>
      </c>
      <c r="T152" s="1">
        <v>262</v>
      </c>
      <c r="U152" s="1">
        <v>5441</v>
      </c>
      <c r="V152" s="1">
        <v>3490</v>
      </c>
      <c r="W152" s="1">
        <f t="shared" si="35"/>
        <v>39</v>
      </c>
      <c r="X152" s="1">
        <f t="shared" si="36"/>
        <v>818</v>
      </c>
      <c r="Y152" s="1">
        <f t="shared" si="37"/>
        <v>8931</v>
      </c>
      <c r="Z152" s="1">
        <v>10.61</v>
      </c>
      <c r="AA152" s="1">
        <v>8.36</v>
      </c>
      <c r="AB152" s="1">
        <f t="shared" si="30"/>
        <v>9.4849999999999994</v>
      </c>
      <c r="AC152" s="1">
        <v>13.54</v>
      </c>
      <c r="AD152" s="1">
        <v>14.02</v>
      </c>
      <c r="AE152" s="1">
        <f t="shared" si="31"/>
        <v>13.78</v>
      </c>
      <c r="AF152" s="1">
        <f t="shared" si="31"/>
        <v>13.899999999999999</v>
      </c>
      <c r="AG152" s="1">
        <v>99.17</v>
      </c>
      <c r="AH152" s="1">
        <v>95.82</v>
      </c>
      <c r="AI152" s="1">
        <v>81.14</v>
      </c>
      <c r="AJ152" s="1">
        <v>37.35</v>
      </c>
      <c r="AK152" s="1">
        <v>305</v>
      </c>
      <c r="AL152" s="1">
        <v>249</v>
      </c>
      <c r="AM152" s="1">
        <v>554</v>
      </c>
      <c r="AN152" s="1">
        <v>3838</v>
      </c>
      <c r="AO152" s="1">
        <v>1612</v>
      </c>
      <c r="AP152" s="1">
        <v>5450</v>
      </c>
      <c r="AQ152" s="1">
        <v>36044</v>
      </c>
      <c r="AR152" s="1">
        <v>24564</v>
      </c>
      <c r="AS152" s="1">
        <v>60608</v>
      </c>
      <c r="AT152" s="5">
        <v>125</v>
      </c>
      <c r="AU152" s="5">
        <v>61</v>
      </c>
      <c r="AV152" s="5">
        <v>186</v>
      </c>
      <c r="AW152" s="5">
        <v>2111</v>
      </c>
      <c r="AX152" s="5">
        <v>525</v>
      </c>
      <c r="AY152" s="5">
        <v>2636</v>
      </c>
      <c r="AZ152" s="5">
        <v>18518</v>
      </c>
      <c r="BA152" s="5">
        <v>6597</v>
      </c>
      <c r="BB152" s="5">
        <v>25115</v>
      </c>
    </row>
    <row r="153" spans="1:54" ht="15.75" x14ac:dyDescent="0.25">
      <c r="A153" s="1" t="s">
        <v>35</v>
      </c>
      <c r="B153" s="1">
        <v>2024</v>
      </c>
      <c r="C153" s="1">
        <v>6.13</v>
      </c>
      <c r="D153" s="1">
        <v>35.120000000000005</v>
      </c>
      <c r="E153" s="1">
        <v>17.675000000000001</v>
      </c>
      <c r="F153" s="1">
        <v>27.85</v>
      </c>
      <c r="G153" s="1">
        <v>42.72</v>
      </c>
      <c r="H153" s="1">
        <v>62</v>
      </c>
      <c r="I153" s="1">
        <v>56</v>
      </c>
      <c r="J153" s="1">
        <v>1630</v>
      </c>
      <c r="K153" s="1">
        <v>766</v>
      </c>
      <c r="L153" s="1">
        <v>23108</v>
      </c>
      <c r="M153" s="1">
        <v>10946</v>
      </c>
      <c r="N153" s="1">
        <f t="shared" si="32"/>
        <v>118</v>
      </c>
      <c r="O153" s="1">
        <f t="shared" si="33"/>
        <v>2396</v>
      </c>
      <c r="P153" s="1">
        <f t="shared" si="34"/>
        <v>34054</v>
      </c>
      <c r="Q153" s="1">
        <v>35</v>
      </c>
      <c r="R153" s="1">
        <v>14</v>
      </c>
      <c r="S153" s="1">
        <v>993</v>
      </c>
      <c r="T153" s="1">
        <v>299</v>
      </c>
      <c r="U153" s="1">
        <v>9364</v>
      </c>
      <c r="V153" s="1">
        <v>3976</v>
      </c>
      <c r="W153" s="1">
        <f t="shared" si="35"/>
        <v>49</v>
      </c>
      <c r="X153" s="1">
        <f t="shared" si="36"/>
        <v>1292</v>
      </c>
      <c r="Y153" s="1">
        <f t="shared" si="37"/>
        <v>13340</v>
      </c>
      <c r="Z153" s="1">
        <v>10.09</v>
      </c>
      <c r="AA153" s="1">
        <v>9.73</v>
      </c>
      <c r="AB153" s="1">
        <f t="shared" si="30"/>
        <v>9.91</v>
      </c>
      <c r="AC153" s="1">
        <v>6.8250000000000002</v>
      </c>
      <c r="AD153" s="1">
        <v>6.95</v>
      </c>
      <c r="AE153" s="1">
        <f t="shared" si="31"/>
        <v>6.8875000000000002</v>
      </c>
      <c r="AF153" s="1">
        <f t="shared" si="31"/>
        <v>6.9187500000000002</v>
      </c>
      <c r="AG153" s="1">
        <v>97.09</v>
      </c>
      <c r="AH153" s="1">
        <v>96.98</v>
      </c>
      <c r="AI153" s="1">
        <v>80.38</v>
      </c>
      <c r="AJ153" s="1">
        <v>38.17</v>
      </c>
      <c r="AK153" s="1">
        <v>515</v>
      </c>
      <c r="AL153" s="1">
        <v>335</v>
      </c>
      <c r="AM153" s="1">
        <v>850</v>
      </c>
      <c r="AN153" s="1">
        <v>5195</v>
      </c>
      <c r="AO153" s="1">
        <v>2694</v>
      </c>
      <c r="AP153" s="1">
        <v>7889</v>
      </c>
      <c r="AQ153" s="1">
        <v>70293</v>
      </c>
      <c r="AR153" s="1">
        <v>47619</v>
      </c>
      <c r="AS153" s="1">
        <v>117912</v>
      </c>
      <c r="AT153" s="5">
        <v>196</v>
      </c>
      <c r="AU153" s="5">
        <v>80</v>
      </c>
      <c r="AV153" s="5">
        <v>276</v>
      </c>
      <c r="AW153" s="5">
        <v>3188</v>
      </c>
      <c r="AX153" s="5">
        <v>828</v>
      </c>
      <c r="AY153" s="5">
        <v>4016</v>
      </c>
      <c r="AZ153" s="5">
        <v>39424</v>
      </c>
      <c r="BA153" s="5">
        <v>12224</v>
      </c>
      <c r="BB153" s="5">
        <v>51648</v>
      </c>
    </row>
    <row r="154" spans="1:54" ht="15.75" x14ac:dyDescent="0.25">
      <c r="A154" s="1" t="s">
        <v>36</v>
      </c>
      <c r="B154" s="1">
        <v>2024</v>
      </c>
      <c r="C154" s="1">
        <v>3.375</v>
      </c>
      <c r="D154" s="1">
        <v>27.055</v>
      </c>
      <c r="E154" s="1">
        <v>18.395000000000003</v>
      </c>
      <c r="F154" s="1">
        <v>23.96</v>
      </c>
      <c r="G154" s="1">
        <v>33.159999999999997</v>
      </c>
      <c r="H154" s="1">
        <v>24</v>
      </c>
      <c r="I154" s="1">
        <v>16</v>
      </c>
      <c r="J154" s="1">
        <v>723</v>
      </c>
      <c r="K154" s="1">
        <v>203</v>
      </c>
      <c r="L154" s="1">
        <v>10463</v>
      </c>
      <c r="M154" s="1">
        <v>3358</v>
      </c>
      <c r="N154" s="1">
        <f t="shared" si="32"/>
        <v>40</v>
      </c>
      <c r="O154" s="1">
        <f t="shared" si="33"/>
        <v>926</v>
      </c>
      <c r="P154" s="1">
        <f t="shared" si="34"/>
        <v>13821</v>
      </c>
      <c r="Q154" s="1">
        <v>21</v>
      </c>
      <c r="R154" s="1">
        <v>4</v>
      </c>
      <c r="S154" s="1">
        <v>633</v>
      </c>
      <c r="T154" s="1">
        <v>61</v>
      </c>
      <c r="U154" s="1">
        <v>6343</v>
      </c>
      <c r="V154" s="1">
        <v>639</v>
      </c>
      <c r="W154" s="1">
        <f t="shared" si="35"/>
        <v>25</v>
      </c>
      <c r="X154" s="1">
        <f t="shared" si="36"/>
        <v>694</v>
      </c>
      <c r="Y154" s="1">
        <f t="shared" si="37"/>
        <v>6982</v>
      </c>
      <c r="Z154" s="1">
        <v>8.86</v>
      </c>
      <c r="AA154" s="1">
        <v>7.96</v>
      </c>
      <c r="AB154" s="1">
        <f t="shared" si="30"/>
        <v>8.41</v>
      </c>
      <c r="AC154" s="1">
        <v>6.8250000000000002</v>
      </c>
      <c r="AD154" s="1">
        <v>6.95</v>
      </c>
      <c r="AE154" s="1">
        <f t="shared" si="31"/>
        <v>6.8875000000000002</v>
      </c>
      <c r="AF154" s="1">
        <f t="shared" si="31"/>
        <v>6.9187500000000002</v>
      </c>
      <c r="AG154" s="1">
        <v>90.47</v>
      </c>
      <c r="AH154" s="1">
        <v>85.51</v>
      </c>
      <c r="AI154" s="1">
        <v>71.680000000000007</v>
      </c>
      <c r="AJ154" s="1">
        <v>31.73</v>
      </c>
      <c r="AK154" s="1">
        <v>377</v>
      </c>
      <c r="AL154" s="1">
        <v>241</v>
      </c>
      <c r="AM154" s="1">
        <v>618</v>
      </c>
      <c r="AN154" s="1">
        <v>3098</v>
      </c>
      <c r="AO154" s="1">
        <v>1568</v>
      </c>
      <c r="AP154" s="1">
        <v>4666</v>
      </c>
      <c r="AQ154" s="1">
        <v>57447</v>
      </c>
      <c r="AR154" s="1">
        <v>39392</v>
      </c>
      <c r="AS154" s="1">
        <v>96839</v>
      </c>
      <c r="AT154" s="5">
        <v>95</v>
      </c>
      <c r="AU154" s="5">
        <v>37</v>
      </c>
      <c r="AV154" s="5">
        <v>132</v>
      </c>
      <c r="AW154" s="5">
        <v>1689</v>
      </c>
      <c r="AX154" s="5">
        <v>402</v>
      </c>
      <c r="AY154" s="5">
        <v>2091</v>
      </c>
      <c r="AZ154" s="5">
        <v>22148</v>
      </c>
      <c r="BA154" s="5">
        <v>6945</v>
      </c>
      <c r="BB154" s="5">
        <v>29093</v>
      </c>
    </row>
    <row r="155" spans="1:54" ht="15.75" x14ac:dyDescent="0.25">
      <c r="A155" s="1" t="s">
        <v>37</v>
      </c>
      <c r="B155" s="1">
        <v>2024</v>
      </c>
      <c r="C155" s="1">
        <v>4.7949999999999999</v>
      </c>
      <c r="D155" s="1">
        <v>36.42</v>
      </c>
      <c r="E155" s="1">
        <v>28.68</v>
      </c>
      <c r="F155" s="1">
        <v>31.2</v>
      </c>
      <c r="G155" s="1">
        <v>12.98</v>
      </c>
      <c r="H155" s="1">
        <v>31</v>
      </c>
      <c r="I155" s="1">
        <v>29</v>
      </c>
      <c r="J155" s="1">
        <v>723</v>
      </c>
      <c r="K155" s="1">
        <v>366</v>
      </c>
      <c r="L155" s="1">
        <v>12244</v>
      </c>
      <c r="M155" s="1">
        <v>5380</v>
      </c>
      <c r="N155" s="1">
        <f t="shared" si="32"/>
        <v>60</v>
      </c>
      <c r="O155" s="1">
        <f t="shared" si="33"/>
        <v>1089</v>
      </c>
      <c r="P155" s="1">
        <f t="shared" si="34"/>
        <v>17624</v>
      </c>
      <c r="Q155" s="1">
        <v>17</v>
      </c>
      <c r="R155" s="1">
        <v>37</v>
      </c>
      <c r="S155" s="1">
        <v>512</v>
      </c>
      <c r="T155" s="1">
        <v>502</v>
      </c>
      <c r="U155" s="1">
        <v>5457</v>
      </c>
      <c r="V155" s="1">
        <v>5765</v>
      </c>
      <c r="W155" s="1">
        <f t="shared" si="35"/>
        <v>54</v>
      </c>
      <c r="X155" s="1">
        <f t="shared" si="36"/>
        <v>1014</v>
      </c>
      <c r="Y155" s="1">
        <f t="shared" si="37"/>
        <v>11222</v>
      </c>
      <c r="Z155" s="1">
        <v>6.7</v>
      </c>
      <c r="AA155" s="1">
        <v>5.55</v>
      </c>
      <c r="AB155" s="1">
        <f t="shared" si="30"/>
        <v>6.125</v>
      </c>
      <c r="AC155" s="1">
        <v>6.8250000000000002</v>
      </c>
      <c r="AD155" s="1">
        <v>6.95</v>
      </c>
      <c r="AE155" s="1">
        <f t="shared" si="31"/>
        <v>6.8875000000000002</v>
      </c>
      <c r="AF155" s="1">
        <f t="shared" si="31"/>
        <v>6.9187500000000002</v>
      </c>
      <c r="AG155" s="1">
        <v>74.63</v>
      </c>
      <c r="AH155" s="1">
        <v>68.42</v>
      </c>
      <c r="AI155" s="1">
        <v>47.65</v>
      </c>
      <c r="AJ155" s="1">
        <v>17.96</v>
      </c>
      <c r="AK155" s="1">
        <v>295</v>
      </c>
      <c r="AL155" s="1">
        <v>265</v>
      </c>
      <c r="AM155" s="1">
        <v>560</v>
      </c>
      <c r="AN155" s="1">
        <v>3230</v>
      </c>
      <c r="AO155" s="1">
        <v>2309</v>
      </c>
      <c r="AP155" s="1">
        <v>5539</v>
      </c>
      <c r="AQ155" s="1">
        <v>71294</v>
      </c>
      <c r="AR155" s="1">
        <v>73273</v>
      </c>
      <c r="AS155" s="1">
        <v>144567</v>
      </c>
      <c r="AT155" s="5">
        <v>101</v>
      </c>
      <c r="AU155" s="5">
        <v>70</v>
      </c>
      <c r="AV155" s="5">
        <v>171</v>
      </c>
      <c r="AW155" s="5">
        <v>1716</v>
      </c>
      <c r="AX155" s="5">
        <v>771</v>
      </c>
      <c r="AY155" s="5">
        <v>2487</v>
      </c>
      <c r="AZ155" s="5">
        <v>28369</v>
      </c>
      <c r="BA155" s="5">
        <v>14413</v>
      </c>
      <c r="BB155" s="5">
        <v>42782</v>
      </c>
    </row>
    <row r="156" spans="1:54" ht="15.75" x14ac:dyDescent="0.25">
      <c r="A156" s="1" t="s">
        <v>38</v>
      </c>
      <c r="B156" s="1">
        <v>2024</v>
      </c>
      <c r="C156" s="1">
        <v>14.334999999999999</v>
      </c>
      <c r="D156" s="1">
        <v>32.605000000000004</v>
      </c>
      <c r="E156" s="1">
        <v>31.314999999999998</v>
      </c>
      <c r="F156" s="1">
        <v>17.739999999999998</v>
      </c>
      <c r="G156" s="1">
        <v>4.24</v>
      </c>
      <c r="H156" s="1">
        <v>47</v>
      </c>
      <c r="I156" s="1">
        <v>21</v>
      </c>
      <c r="J156" s="1">
        <v>652</v>
      </c>
      <c r="K156" s="1">
        <v>235</v>
      </c>
      <c r="L156" s="1">
        <v>10860</v>
      </c>
      <c r="M156" s="1">
        <v>4033</v>
      </c>
      <c r="N156" s="1">
        <f t="shared" si="32"/>
        <v>68</v>
      </c>
      <c r="O156" s="1">
        <f t="shared" si="33"/>
        <v>887</v>
      </c>
      <c r="P156" s="1">
        <f t="shared" si="34"/>
        <v>14893</v>
      </c>
      <c r="Q156" s="1">
        <v>12</v>
      </c>
      <c r="R156" s="1">
        <v>10</v>
      </c>
      <c r="S156" s="1">
        <v>151</v>
      </c>
      <c r="T156" s="1">
        <v>124</v>
      </c>
      <c r="U156" s="1">
        <v>2235</v>
      </c>
      <c r="V156" s="1">
        <v>2526</v>
      </c>
      <c r="W156" s="1">
        <f t="shared" si="35"/>
        <v>22</v>
      </c>
      <c r="X156" s="1">
        <f t="shared" si="36"/>
        <v>275</v>
      </c>
      <c r="Y156" s="1">
        <f t="shared" si="37"/>
        <v>4761</v>
      </c>
      <c r="Z156" s="1">
        <v>5.35</v>
      </c>
      <c r="AA156" s="1">
        <v>3.4</v>
      </c>
      <c r="AB156" s="1">
        <f t="shared" si="30"/>
        <v>4.375</v>
      </c>
      <c r="AC156" s="1">
        <v>6.8250000000000002</v>
      </c>
      <c r="AD156" s="1">
        <v>6.95</v>
      </c>
      <c r="AE156" s="1">
        <f t="shared" si="31"/>
        <v>6.8875000000000002</v>
      </c>
      <c r="AF156" s="1">
        <f t="shared" si="31"/>
        <v>6.9187500000000002</v>
      </c>
      <c r="AG156" s="1">
        <v>79.98</v>
      </c>
      <c r="AH156" s="1">
        <v>73.12</v>
      </c>
      <c r="AI156" s="1">
        <v>56.09</v>
      </c>
      <c r="AJ156" s="1">
        <v>17.84</v>
      </c>
      <c r="AK156" s="1">
        <v>518</v>
      </c>
      <c r="AL156" s="1">
        <v>160</v>
      </c>
      <c r="AM156" s="1">
        <v>678</v>
      </c>
      <c r="AN156" s="1">
        <v>3551</v>
      </c>
      <c r="AO156" s="1">
        <v>1025</v>
      </c>
      <c r="AP156" s="1">
        <v>4576</v>
      </c>
      <c r="AQ156" s="1">
        <v>112406</v>
      </c>
      <c r="AR156" s="1">
        <v>34363</v>
      </c>
      <c r="AS156" s="1">
        <v>146769</v>
      </c>
      <c r="AT156" s="5">
        <v>157</v>
      </c>
      <c r="AU156" s="5">
        <v>51</v>
      </c>
      <c r="AV156" s="5">
        <v>208</v>
      </c>
      <c r="AW156" s="5">
        <v>1736</v>
      </c>
      <c r="AX156" s="5">
        <v>357</v>
      </c>
      <c r="AY156" s="5">
        <v>2093</v>
      </c>
      <c r="AZ156" s="5">
        <v>35236</v>
      </c>
      <c r="BA156" s="5">
        <v>9940</v>
      </c>
      <c r="BB156" s="5">
        <v>45176</v>
      </c>
    </row>
    <row r="157" spans="1:54" ht="15.75" x14ac:dyDescent="0.25">
      <c r="A157" s="1" t="s">
        <v>39</v>
      </c>
      <c r="B157" s="1">
        <v>2024</v>
      </c>
      <c r="C157" s="1">
        <v>6.875</v>
      </c>
      <c r="D157" s="1">
        <v>11.565</v>
      </c>
      <c r="E157" s="1">
        <v>8.8000000000000007</v>
      </c>
      <c r="F157" s="1">
        <v>20.309999999999999</v>
      </c>
      <c r="G157" s="1">
        <v>42.05</v>
      </c>
      <c r="H157" s="1">
        <v>7113</v>
      </c>
      <c r="I157" s="1">
        <v>7562</v>
      </c>
      <c r="J157" s="1">
        <v>263498</v>
      </c>
      <c r="K157" s="1">
        <v>96512</v>
      </c>
      <c r="L157" s="1">
        <v>3984997</v>
      </c>
      <c r="M157" s="1">
        <v>1415170</v>
      </c>
      <c r="N157" s="1">
        <f t="shared" si="32"/>
        <v>14675</v>
      </c>
      <c r="O157" s="1">
        <f t="shared" si="33"/>
        <v>360010</v>
      </c>
      <c r="P157" s="1">
        <f t="shared" si="34"/>
        <v>5400167</v>
      </c>
      <c r="Q157" s="1">
        <v>3775</v>
      </c>
      <c r="R157" s="1">
        <v>10550</v>
      </c>
      <c r="S157" s="1">
        <v>176235</v>
      </c>
      <c r="T157" s="1">
        <v>161071</v>
      </c>
      <c r="U157" s="1">
        <v>2433182</v>
      </c>
      <c r="V157" s="1">
        <v>2633242</v>
      </c>
      <c r="W157" s="1">
        <f t="shared" si="35"/>
        <v>14325</v>
      </c>
      <c r="X157" s="1">
        <f t="shared" si="36"/>
        <v>337306</v>
      </c>
      <c r="Y157" s="1">
        <f t="shared" si="37"/>
        <v>5066424</v>
      </c>
      <c r="Z157" s="1">
        <v>9.17</v>
      </c>
      <c r="AA157" s="1">
        <v>8.5399999999999991</v>
      </c>
      <c r="AB157" s="1">
        <f t="shared" si="30"/>
        <v>8.8550000000000004</v>
      </c>
      <c r="AC157" s="1">
        <v>12.99</v>
      </c>
      <c r="AD157" s="1">
        <v>13.39</v>
      </c>
      <c r="AE157" s="1">
        <f t="shared" si="31"/>
        <v>13.190000000000001</v>
      </c>
      <c r="AF157" s="1">
        <f t="shared" si="31"/>
        <v>13.290000000000001</v>
      </c>
      <c r="AG157" s="1">
        <v>99.19</v>
      </c>
      <c r="AH157" s="1">
        <v>96.17</v>
      </c>
      <c r="AI157" s="1">
        <v>74.64</v>
      </c>
      <c r="AJ157" s="1">
        <v>29.01</v>
      </c>
      <c r="AK157" s="1">
        <v>129284</v>
      </c>
      <c r="AL157" s="1">
        <v>19750</v>
      </c>
      <c r="AM157" s="1">
        <v>149034</v>
      </c>
      <c r="AN157" s="1">
        <v>1403632</v>
      </c>
      <c r="AO157" s="1">
        <v>237232</v>
      </c>
      <c r="AP157" s="1">
        <v>1640864</v>
      </c>
      <c r="AQ157" s="1">
        <v>20133151</v>
      </c>
      <c r="AR157" s="1">
        <v>3865281</v>
      </c>
      <c r="AS157" s="1">
        <v>23998432</v>
      </c>
      <c r="AT157" s="5">
        <v>24076</v>
      </c>
      <c r="AU157" s="5">
        <v>19022</v>
      </c>
      <c r="AV157" s="5">
        <v>43098</v>
      </c>
      <c r="AW157" s="5">
        <v>533197</v>
      </c>
      <c r="AX157" s="5">
        <v>188683</v>
      </c>
      <c r="AY157" s="5">
        <v>721880</v>
      </c>
      <c r="AZ157" s="5">
        <v>7350167</v>
      </c>
      <c r="BA157" s="5">
        <v>2753336</v>
      </c>
      <c r="BB157" s="5">
        <v>10103503</v>
      </c>
    </row>
    <row r="158" spans="1:54" ht="15.75" x14ac:dyDescent="0.25">
      <c r="A158" s="1" t="s">
        <v>1</v>
      </c>
      <c r="B158" s="1">
        <v>2025</v>
      </c>
      <c r="C158" s="1">
        <v>8.3449999999999989</v>
      </c>
      <c r="D158" s="1">
        <v>14.475</v>
      </c>
      <c r="E158" s="1">
        <v>12.275</v>
      </c>
      <c r="F158" s="1">
        <v>24.52</v>
      </c>
      <c r="G158" s="1">
        <v>36.090000000000003</v>
      </c>
      <c r="H158" s="1">
        <v>398</v>
      </c>
      <c r="I158" s="1">
        <v>155</v>
      </c>
      <c r="J158" s="1">
        <v>12639</v>
      </c>
      <c r="K158" s="1">
        <v>1768</v>
      </c>
      <c r="L158" s="1">
        <v>123499</v>
      </c>
      <c r="M158" s="1">
        <v>19328</v>
      </c>
      <c r="N158" s="1">
        <f t="shared" si="32"/>
        <v>553</v>
      </c>
      <c r="O158" s="1">
        <f t="shared" si="33"/>
        <v>14407</v>
      </c>
      <c r="P158" s="1">
        <f t="shared" si="34"/>
        <v>142827</v>
      </c>
      <c r="Q158" s="1">
        <v>154</v>
      </c>
      <c r="R158" s="1">
        <v>71</v>
      </c>
      <c r="S158" s="1">
        <v>6577</v>
      </c>
      <c r="T158" s="1">
        <v>835</v>
      </c>
      <c r="U158" s="1">
        <v>49448</v>
      </c>
      <c r="V158" s="1">
        <v>7816</v>
      </c>
      <c r="W158" s="1">
        <f t="shared" si="35"/>
        <v>225</v>
      </c>
      <c r="X158" s="1">
        <f t="shared" si="36"/>
        <v>7412</v>
      </c>
      <c r="Y158" s="1">
        <f t="shared" si="37"/>
        <v>57264</v>
      </c>
      <c r="Z158" s="1">
        <v>10.07</v>
      </c>
      <c r="AA158" s="1">
        <v>9.83</v>
      </c>
      <c r="AB158" s="1">
        <f>(Z158+AA158)/2</f>
        <v>9.9499999999999993</v>
      </c>
      <c r="AC158" s="1">
        <v>14.31</v>
      </c>
      <c r="AD158" s="1">
        <v>14.63</v>
      </c>
      <c r="AE158" s="1">
        <f>(AC158+AD158)/2</f>
        <v>14.47</v>
      </c>
      <c r="AF158" s="1">
        <f>(AD158+AE158)/2</f>
        <v>14.55</v>
      </c>
      <c r="AG158" s="1">
        <v>99.38</v>
      </c>
      <c r="AH158" s="1">
        <v>97.65</v>
      </c>
      <c r="AI158" s="1">
        <v>80.94</v>
      </c>
      <c r="AJ158" s="1">
        <v>34.950000000000003</v>
      </c>
      <c r="AK158" s="1">
        <v>3336</v>
      </c>
      <c r="AL158" s="1">
        <v>221</v>
      </c>
      <c r="AM158" s="1">
        <v>3557</v>
      </c>
      <c r="AN158" s="1">
        <v>47413</v>
      </c>
      <c r="AO158" s="1">
        <v>3358</v>
      </c>
      <c r="AP158" s="1">
        <v>50771</v>
      </c>
      <c r="AQ158" s="1">
        <v>456582</v>
      </c>
      <c r="AR158" s="1">
        <v>42474</v>
      </c>
      <c r="AS158" s="1">
        <v>499056</v>
      </c>
      <c r="AT158" s="4">
        <v>910</v>
      </c>
      <c r="AU158" s="4">
        <v>448</v>
      </c>
      <c r="AV158" s="4">
        <v>1358</v>
      </c>
      <c r="AW158" s="4">
        <v>19983</v>
      </c>
      <c r="AX158" s="4">
        <v>4742</v>
      </c>
      <c r="AY158" s="4">
        <v>24725</v>
      </c>
      <c r="AZ158" s="4">
        <v>162047</v>
      </c>
      <c r="BA158" s="4">
        <v>49991</v>
      </c>
      <c r="BB158" s="4">
        <v>212038</v>
      </c>
    </row>
    <row r="159" spans="1:54" ht="15.75" x14ac:dyDescent="0.25">
      <c r="A159" s="1" t="s">
        <v>2</v>
      </c>
      <c r="B159" s="1">
        <v>2025</v>
      </c>
      <c r="C159" s="1">
        <v>7.13</v>
      </c>
      <c r="D159" s="1">
        <v>7.5299999999999994</v>
      </c>
      <c r="E159" s="1">
        <v>7.3000000000000007</v>
      </c>
      <c r="F159" s="1">
        <v>17.420000000000002</v>
      </c>
      <c r="G159" s="1">
        <v>42.74</v>
      </c>
      <c r="H159" s="1">
        <v>440</v>
      </c>
      <c r="I159" s="1">
        <v>638</v>
      </c>
      <c r="J159" s="1">
        <v>16123</v>
      </c>
      <c r="K159" s="1">
        <v>8458</v>
      </c>
      <c r="L159" s="1">
        <v>253008</v>
      </c>
      <c r="M159" s="1">
        <v>138546</v>
      </c>
      <c r="N159" s="1">
        <f t="shared" si="32"/>
        <v>1078</v>
      </c>
      <c r="O159" s="1">
        <f t="shared" si="33"/>
        <v>24581</v>
      </c>
      <c r="P159" s="1">
        <f t="shared" si="34"/>
        <v>391554</v>
      </c>
      <c r="Q159" s="1">
        <v>281</v>
      </c>
      <c r="R159" s="1">
        <v>656</v>
      </c>
      <c r="S159" s="1">
        <v>11051</v>
      </c>
      <c r="T159" s="1">
        <v>10046</v>
      </c>
      <c r="U159" s="1">
        <v>137444</v>
      </c>
      <c r="V159" s="1">
        <v>152923</v>
      </c>
      <c r="W159" s="1">
        <f t="shared" si="35"/>
        <v>937</v>
      </c>
      <c r="X159" s="1">
        <f t="shared" si="36"/>
        <v>21097</v>
      </c>
      <c r="Y159" s="1">
        <f t="shared" si="37"/>
        <v>290367</v>
      </c>
      <c r="Z159" s="1">
        <v>10.25</v>
      </c>
      <c r="AA159" s="1">
        <v>9.92</v>
      </c>
      <c r="AB159" s="1">
        <f t="shared" ref="AB159:AB196" si="38">(Z159+AA159)/2</f>
        <v>10.085000000000001</v>
      </c>
      <c r="AC159" s="1">
        <v>13.35</v>
      </c>
      <c r="AD159" s="1">
        <v>13.75</v>
      </c>
      <c r="AE159" s="1">
        <f t="shared" ref="AE159:AF196" si="39">(AC159+AD159)/2</f>
        <v>13.55</v>
      </c>
      <c r="AF159" s="1">
        <f t="shared" si="39"/>
        <v>13.65</v>
      </c>
      <c r="AG159" s="1">
        <v>99.54</v>
      </c>
      <c r="AH159" s="1">
        <v>97.67</v>
      </c>
      <c r="AI159" s="1">
        <v>77.510000000000005</v>
      </c>
      <c r="AJ159" s="1">
        <v>30.48</v>
      </c>
      <c r="AK159" s="1">
        <v>7982</v>
      </c>
      <c r="AL159" s="1">
        <v>1653</v>
      </c>
      <c r="AM159" s="1">
        <v>9635</v>
      </c>
      <c r="AN159" s="1">
        <v>92179</v>
      </c>
      <c r="AO159" s="1">
        <v>20945</v>
      </c>
      <c r="AP159" s="1">
        <v>113124</v>
      </c>
      <c r="AQ159" s="1">
        <v>1117437</v>
      </c>
      <c r="AR159" s="1">
        <v>349159</v>
      </c>
      <c r="AS159" s="1">
        <v>1466596</v>
      </c>
      <c r="AT159" s="4">
        <v>1346</v>
      </c>
      <c r="AU159" s="4">
        <v>1378</v>
      </c>
      <c r="AV159" s="4">
        <v>2724</v>
      </c>
      <c r="AW159" s="4">
        <v>31842</v>
      </c>
      <c r="AX159" s="4">
        <v>14373</v>
      </c>
      <c r="AY159" s="4">
        <v>46215</v>
      </c>
      <c r="AZ159" s="4">
        <v>407393</v>
      </c>
      <c r="BA159" s="4">
        <v>208760</v>
      </c>
      <c r="BB159" s="4">
        <v>616153</v>
      </c>
    </row>
    <row r="160" spans="1:54" ht="15.75" x14ac:dyDescent="0.25">
      <c r="A160" s="1" t="s">
        <v>3</v>
      </c>
      <c r="B160" s="1">
        <v>2025</v>
      </c>
      <c r="C160" s="1">
        <v>3.83</v>
      </c>
      <c r="D160" s="1">
        <v>6.98</v>
      </c>
      <c r="E160" s="1">
        <v>5.33</v>
      </c>
      <c r="F160" s="1">
        <v>18.420000000000002</v>
      </c>
      <c r="G160" s="1">
        <v>35.67</v>
      </c>
      <c r="H160" s="1">
        <v>243</v>
      </c>
      <c r="I160" s="1">
        <v>116</v>
      </c>
      <c r="J160" s="1">
        <v>9420</v>
      </c>
      <c r="K160" s="1">
        <v>1384</v>
      </c>
      <c r="L160" s="1">
        <v>146759</v>
      </c>
      <c r="M160" s="1">
        <v>14422</v>
      </c>
      <c r="N160" s="1">
        <f t="shared" si="32"/>
        <v>359</v>
      </c>
      <c r="O160" s="1">
        <f t="shared" si="33"/>
        <v>10804</v>
      </c>
      <c r="P160" s="1">
        <f t="shared" si="34"/>
        <v>161181</v>
      </c>
      <c r="Q160" s="1">
        <v>117</v>
      </c>
      <c r="R160" s="1">
        <v>95</v>
      </c>
      <c r="S160" s="1">
        <v>5843</v>
      </c>
      <c r="T160" s="1">
        <v>1274</v>
      </c>
      <c r="U160" s="1">
        <v>74733</v>
      </c>
      <c r="V160" s="1">
        <v>11607</v>
      </c>
      <c r="W160" s="1">
        <f t="shared" si="35"/>
        <v>212</v>
      </c>
      <c r="X160" s="1">
        <f t="shared" si="36"/>
        <v>7117</v>
      </c>
      <c r="Y160" s="1">
        <f t="shared" si="37"/>
        <v>86340</v>
      </c>
      <c r="Z160" s="1">
        <v>9.61</v>
      </c>
      <c r="AA160" s="1">
        <v>9.89</v>
      </c>
      <c r="AB160" s="1">
        <f t="shared" si="38"/>
        <v>9.75</v>
      </c>
      <c r="AC160" s="1">
        <v>13.89</v>
      </c>
      <c r="AD160" s="1">
        <v>14.87</v>
      </c>
      <c r="AE160" s="1">
        <f t="shared" si="39"/>
        <v>14.379999999999999</v>
      </c>
      <c r="AF160" s="1">
        <f t="shared" si="39"/>
        <v>14.625</v>
      </c>
      <c r="AG160" s="1">
        <v>99.63</v>
      </c>
      <c r="AH160" s="1">
        <v>97</v>
      </c>
      <c r="AI160" s="1">
        <v>85.04</v>
      </c>
      <c r="AJ160" s="1">
        <v>38.840000000000003</v>
      </c>
      <c r="AK160" s="1">
        <v>3894</v>
      </c>
      <c r="AL160" s="1">
        <v>353</v>
      </c>
      <c r="AM160" s="1">
        <v>4247</v>
      </c>
      <c r="AN160" s="1">
        <v>43390</v>
      </c>
      <c r="AO160" s="1">
        <v>5607</v>
      </c>
      <c r="AP160" s="1">
        <v>48997</v>
      </c>
      <c r="AQ160" s="1">
        <v>506442</v>
      </c>
      <c r="AR160" s="1">
        <v>75791</v>
      </c>
      <c r="AS160" s="1">
        <v>582233</v>
      </c>
      <c r="AT160" s="4">
        <v>678</v>
      </c>
      <c r="AU160" s="4">
        <v>197</v>
      </c>
      <c r="AV160" s="4">
        <v>875</v>
      </c>
      <c r="AW160" s="4">
        <v>15210</v>
      </c>
      <c r="AX160" s="4">
        <v>2494</v>
      </c>
      <c r="AY160" s="4">
        <v>17704</v>
      </c>
      <c r="AZ160" s="4">
        <v>181650</v>
      </c>
      <c r="BA160" s="4">
        <v>24035</v>
      </c>
      <c r="BB160" s="4">
        <v>205685</v>
      </c>
    </row>
    <row r="161" spans="1:54" ht="15.75" x14ac:dyDescent="0.25">
      <c r="A161" s="1" t="s">
        <v>4</v>
      </c>
      <c r="B161" s="1">
        <v>2025</v>
      </c>
      <c r="C161" s="1">
        <v>5.68</v>
      </c>
      <c r="D161" s="1">
        <v>6.5949999999999998</v>
      </c>
      <c r="E161" s="1">
        <v>6.23</v>
      </c>
      <c r="F161" s="1">
        <v>19.489999999999998</v>
      </c>
      <c r="G161" s="1">
        <v>48</v>
      </c>
      <c r="H161" s="1">
        <v>326</v>
      </c>
      <c r="I161" s="1">
        <v>170</v>
      </c>
      <c r="J161" s="1">
        <v>10417</v>
      </c>
      <c r="K161" s="1">
        <v>2226</v>
      </c>
      <c r="L161" s="1">
        <v>158611</v>
      </c>
      <c r="M161" s="1">
        <v>25209</v>
      </c>
      <c r="N161" s="1">
        <f t="shared" si="32"/>
        <v>496</v>
      </c>
      <c r="O161" s="1">
        <f t="shared" si="33"/>
        <v>12643</v>
      </c>
      <c r="P161" s="1">
        <f t="shared" si="34"/>
        <v>183820</v>
      </c>
      <c r="Q161" s="1">
        <v>139</v>
      </c>
      <c r="R161" s="1">
        <v>168</v>
      </c>
      <c r="S161" s="1">
        <v>5493</v>
      </c>
      <c r="T161" s="1">
        <v>3025</v>
      </c>
      <c r="U161" s="1">
        <v>72884</v>
      </c>
      <c r="V161" s="1">
        <v>34443</v>
      </c>
      <c r="W161" s="1">
        <f t="shared" si="35"/>
        <v>307</v>
      </c>
      <c r="X161" s="1">
        <f t="shared" si="36"/>
        <v>8518</v>
      </c>
      <c r="Y161" s="1">
        <f t="shared" si="37"/>
        <v>107327</v>
      </c>
      <c r="Z161" s="1">
        <v>9.6199999999999992</v>
      </c>
      <c r="AA161" s="1">
        <v>9.48</v>
      </c>
      <c r="AB161" s="1">
        <f t="shared" si="38"/>
        <v>9.5500000000000007</v>
      </c>
      <c r="AC161" s="1">
        <v>13.34</v>
      </c>
      <c r="AD161" s="1">
        <v>13.71</v>
      </c>
      <c r="AE161" s="1">
        <f t="shared" si="39"/>
        <v>13.525</v>
      </c>
      <c r="AF161" s="1">
        <f t="shared" si="39"/>
        <v>13.6175</v>
      </c>
      <c r="AG161" s="1">
        <v>99.74</v>
      </c>
      <c r="AH161" s="1">
        <v>95.47</v>
      </c>
      <c r="AI161" s="1">
        <v>77.42</v>
      </c>
      <c r="AJ161" s="1">
        <v>33.03</v>
      </c>
      <c r="AK161" s="1">
        <v>3239</v>
      </c>
      <c r="AL161" s="1">
        <v>615</v>
      </c>
      <c r="AM161" s="1">
        <v>3854</v>
      </c>
      <c r="AN161" s="1">
        <v>44459</v>
      </c>
      <c r="AO161" s="1">
        <v>9965</v>
      </c>
      <c r="AP161" s="1">
        <v>54424</v>
      </c>
      <c r="AQ161" s="1">
        <v>620356</v>
      </c>
      <c r="AR161" s="1">
        <v>148085</v>
      </c>
      <c r="AS161" s="1">
        <v>768441</v>
      </c>
      <c r="AT161" s="4">
        <v>893</v>
      </c>
      <c r="AU161" s="4">
        <v>435</v>
      </c>
      <c r="AV161" s="4">
        <v>1328</v>
      </c>
      <c r="AW161" s="4">
        <v>17021</v>
      </c>
      <c r="AX161" s="4">
        <v>4988</v>
      </c>
      <c r="AY161" s="4">
        <v>22009</v>
      </c>
      <c r="AZ161" s="4">
        <v>217776</v>
      </c>
      <c r="BA161" s="4">
        <v>59809</v>
      </c>
      <c r="BB161" s="4">
        <v>277585</v>
      </c>
    </row>
    <row r="162" spans="1:54" ht="15.75" x14ac:dyDescent="0.25">
      <c r="A162" s="1" t="s">
        <v>5</v>
      </c>
      <c r="B162" s="1">
        <v>2025</v>
      </c>
      <c r="C162" s="1">
        <v>9.3849999999999998</v>
      </c>
      <c r="D162" s="1">
        <v>5.8550000000000004</v>
      </c>
      <c r="E162" s="1">
        <v>7.04</v>
      </c>
      <c r="F162" s="1">
        <v>19.46</v>
      </c>
      <c r="G162" s="1">
        <v>42.73</v>
      </c>
      <c r="H162" s="1">
        <v>165</v>
      </c>
      <c r="I162" s="1">
        <v>92</v>
      </c>
      <c r="J162" s="1">
        <v>5068</v>
      </c>
      <c r="K162" s="1">
        <v>883</v>
      </c>
      <c r="L162" s="1">
        <v>74255</v>
      </c>
      <c r="M162" s="1">
        <v>11186</v>
      </c>
      <c r="N162" s="1">
        <f t="shared" ref="N162:N196" si="40">H162+I162</f>
        <v>257</v>
      </c>
      <c r="O162" s="1">
        <f t="shared" ref="O162:O196" si="41">J162+K162</f>
        <v>5951</v>
      </c>
      <c r="P162" s="1">
        <f t="shared" ref="P162:P196" si="42">L162+M162</f>
        <v>85441</v>
      </c>
      <c r="Q162" s="1">
        <v>108</v>
      </c>
      <c r="R162" s="1">
        <v>73</v>
      </c>
      <c r="S162" s="1">
        <v>3550</v>
      </c>
      <c r="T162" s="1">
        <v>937</v>
      </c>
      <c r="U162" s="1">
        <v>38068</v>
      </c>
      <c r="V162" s="1">
        <v>10189</v>
      </c>
      <c r="W162" s="1">
        <f t="shared" ref="W162:W196" si="43">Q162+R162</f>
        <v>181</v>
      </c>
      <c r="X162" s="1">
        <f t="shared" ref="X162:X196" si="44">S162+T162</f>
        <v>4487</v>
      </c>
      <c r="Y162" s="1">
        <f t="shared" ref="Y162:Y196" si="45">U162+V162</f>
        <v>48257</v>
      </c>
      <c r="Z162" s="1">
        <v>9.1999999999999993</v>
      </c>
      <c r="AA162" s="1">
        <v>8.6999999999999993</v>
      </c>
      <c r="AB162" s="1">
        <f t="shared" si="38"/>
        <v>8.9499999999999993</v>
      </c>
      <c r="AC162" s="1">
        <v>13.19</v>
      </c>
      <c r="AD162" s="1">
        <v>13.67</v>
      </c>
      <c r="AE162" s="1">
        <f t="shared" si="39"/>
        <v>13.43</v>
      </c>
      <c r="AF162" s="1">
        <f t="shared" si="39"/>
        <v>13.55</v>
      </c>
      <c r="AG162" s="1">
        <v>99.45</v>
      </c>
      <c r="AH162" s="1">
        <v>95.59</v>
      </c>
      <c r="AI162" s="1">
        <v>74.39</v>
      </c>
      <c r="AJ162" s="1">
        <v>25.23</v>
      </c>
      <c r="AK162" s="1">
        <v>2302</v>
      </c>
      <c r="AL162" s="1">
        <v>184</v>
      </c>
      <c r="AM162" s="1">
        <v>2486</v>
      </c>
      <c r="AN162" s="1">
        <v>27371</v>
      </c>
      <c r="AO162" s="1">
        <v>2606</v>
      </c>
      <c r="AP162" s="1">
        <v>29977</v>
      </c>
      <c r="AQ162" s="1">
        <v>330014</v>
      </c>
      <c r="AR162" s="1">
        <v>37858</v>
      </c>
      <c r="AS162" s="1">
        <v>367872</v>
      </c>
      <c r="AT162" s="4">
        <v>559</v>
      </c>
      <c r="AU162" s="4">
        <v>167</v>
      </c>
      <c r="AV162" s="4">
        <v>726</v>
      </c>
      <c r="AW162" s="4">
        <v>9906</v>
      </c>
      <c r="AX162" s="4">
        <v>1678</v>
      </c>
      <c r="AY162" s="4">
        <v>11584</v>
      </c>
      <c r="AZ162" s="4">
        <v>102423</v>
      </c>
      <c r="BA162" s="4">
        <v>21526</v>
      </c>
      <c r="BB162" s="4">
        <v>123949</v>
      </c>
    </row>
    <row r="163" spans="1:54" ht="15.75" x14ac:dyDescent="0.25">
      <c r="A163" s="1" t="s">
        <v>6</v>
      </c>
      <c r="B163" s="1">
        <v>2025</v>
      </c>
      <c r="C163" s="1">
        <v>9.004999999999999</v>
      </c>
      <c r="D163" s="1">
        <v>10.61</v>
      </c>
      <c r="E163" s="1">
        <v>10</v>
      </c>
      <c r="F163" s="1">
        <v>21.35</v>
      </c>
      <c r="G163" s="1">
        <v>36.869999999999997</v>
      </c>
      <c r="H163" s="1">
        <v>333</v>
      </c>
      <c r="I163" s="1">
        <v>287</v>
      </c>
      <c r="J163" s="1">
        <v>11935</v>
      </c>
      <c r="K163" s="1">
        <v>3652</v>
      </c>
      <c r="L163" s="1">
        <v>174134</v>
      </c>
      <c r="M163" s="1">
        <v>52272</v>
      </c>
      <c r="N163" s="1">
        <f t="shared" si="40"/>
        <v>620</v>
      </c>
      <c r="O163" s="1">
        <f t="shared" si="41"/>
        <v>15587</v>
      </c>
      <c r="P163" s="1">
        <f t="shared" si="42"/>
        <v>226406</v>
      </c>
      <c r="Q163" s="1">
        <v>121</v>
      </c>
      <c r="R163" s="1">
        <v>183</v>
      </c>
      <c r="S163" s="1">
        <v>5842</v>
      </c>
      <c r="T163" s="1">
        <v>3154</v>
      </c>
      <c r="U163" s="1">
        <v>82107</v>
      </c>
      <c r="V163" s="1">
        <v>47213</v>
      </c>
      <c r="W163" s="1">
        <f t="shared" si="43"/>
        <v>304</v>
      </c>
      <c r="X163" s="1">
        <f t="shared" si="44"/>
        <v>8996</v>
      </c>
      <c r="Y163" s="1">
        <f t="shared" si="45"/>
        <v>129320</v>
      </c>
      <c r="Z163" s="1">
        <v>9.1199999999999992</v>
      </c>
      <c r="AA163" s="1">
        <v>8.6999999999999993</v>
      </c>
      <c r="AB163" s="1">
        <f t="shared" si="38"/>
        <v>8.91</v>
      </c>
      <c r="AC163" s="1">
        <v>12.56</v>
      </c>
      <c r="AD163" s="1">
        <v>12.95</v>
      </c>
      <c r="AE163" s="1">
        <f t="shared" si="39"/>
        <v>12.754999999999999</v>
      </c>
      <c r="AF163" s="1">
        <f t="shared" si="39"/>
        <v>12.852499999999999</v>
      </c>
      <c r="AG163" s="1">
        <v>99.5</v>
      </c>
      <c r="AH163" s="1">
        <v>95.68</v>
      </c>
      <c r="AI163" s="1">
        <v>73.78</v>
      </c>
      <c r="AJ163" s="1">
        <v>21.24</v>
      </c>
      <c r="AK163" s="1">
        <v>4247</v>
      </c>
      <c r="AL163" s="1">
        <v>497</v>
      </c>
      <c r="AM163" s="1">
        <v>4744</v>
      </c>
      <c r="AN163" s="1">
        <v>54307</v>
      </c>
      <c r="AO163" s="1">
        <v>6758</v>
      </c>
      <c r="AP163" s="1">
        <v>61065</v>
      </c>
      <c r="AQ163" s="1">
        <v>788108</v>
      </c>
      <c r="AR163" s="1">
        <v>95912</v>
      </c>
      <c r="AS163" s="1">
        <v>884020</v>
      </c>
      <c r="AT163" s="4">
        <v>906</v>
      </c>
      <c r="AU163" s="4">
        <v>578</v>
      </c>
      <c r="AV163" s="4">
        <v>1484</v>
      </c>
      <c r="AW163" s="4">
        <v>21349</v>
      </c>
      <c r="AX163" s="4">
        <v>5556</v>
      </c>
      <c r="AY163" s="4">
        <v>26905</v>
      </c>
      <c r="AZ163" s="4">
        <v>292664</v>
      </c>
      <c r="BA163" s="4">
        <v>68482</v>
      </c>
      <c r="BB163" s="4">
        <v>361146</v>
      </c>
    </row>
    <row r="164" spans="1:54" ht="15.75" x14ac:dyDescent="0.25">
      <c r="A164" s="1" t="s">
        <v>7</v>
      </c>
      <c r="B164" s="1">
        <v>2025</v>
      </c>
      <c r="C164" s="1">
        <v>12.785</v>
      </c>
      <c r="D164" s="1">
        <v>11.57</v>
      </c>
      <c r="E164" s="1">
        <v>11.98</v>
      </c>
      <c r="F164" s="1">
        <v>18.61</v>
      </c>
      <c r="G164" s="1">
        <v>34.83</v>
      </c>
      <c r="H164" s="1">
        <v>111</v>
      </c>
      <c r="I164" s="1">
        <v>42</v>
      </c>
      <c r="J164" s="1">
        <v>4017</v>
      </c>
      <c r="K164" s="1">
        <v>358</v>
      </c>
      <c r="L164" s="1">
        <v>53774</v>
      </c>
      <c r="M164" s="1">
        <v>2995</v>
      </c>
      <c r="N164" s="1">
        <f t="shared" si="40"/>
        <v>153</v>
      </c>
      <c r="O164" s="1">
        <f t="shared" si="41"/>
        <v>4375</v>
      </c>
      <c r="P164" s="1">
        <f t="shared" si="42"/>
        <v>56769</v>
      </c>
      <c r="Q164" s="1">
        <v>65</v>
      </c>
      <c r="R164" s="1">
        <v>35</v>
      </c>
      <c r="S164" s="1">
        <v>2660</v>
      </c>
      <c r="T164" s="1">
        <v>381</v>
      </c>
      <c r="U164" s="1">
        <v>24875</v>
      </c>
      <c r="V164" s="1">
        <v>2867</v>
      </c>
      <c r="W164" s="1">
        <f t="shared" si="43"/>
        <v>100</v>
      </c>
      <c r="X164" s="1">
        <f t="shared" si="44"/>
        <v>3041</v>
      </c>
      <c r="Y164" s="1">
        <f t="shared" si="45"/>
        <v>27742</v>
      </c>
      <c r="Z164" s="1">
        <v>9.4700000000000006</v>
      </c>
      <c r="AA164" s="1">
        <v>9.06</v>
      </c>
      <c r="AB164" s="1">
        <f t="shared" si="38"/>
        <v>9.2650000000000006</v>
      </c>
      <c r="AC164" s="1">
        <v>13.71</v>
      </c>
      <c r="AD164" s="1">
        <v>14.15</v>
      </c>
      <c r="AE164" s="1">
        <f t="shared" si="39"/>
        <v>13.93</v>
      </c>
      <c r="AF164" s="1">
        <f t="shared" si="39"/>
        <v>14.04</v>
      </c>
      <c r="AG164" s="1">
        <v>99.29</v>
      </c>
      <c r="AH164" s="1">
        <v>97.01</v>
      </c>
      <c r="AI164" s="1">
        <v>80.48</v>
      </c>
      <c r="AJ164" s="1">
        <v>34.18</v>
      </c>
      <c r="AK164" s="1">
        <v>1285</v>
      </c>
      <c r="AL164" s="1">
        <v>123</v>
      </c>
      <c r="AM164" s="1">
        <v>1408</v>
      </c>
      <c r="AN164" s="1">
        <v>15852</v>
      </c>
      <c r="AO164" s="1">
        <v>2021</v>
      </c>
      <c r="AP164" s="1">
        <v>17873</v>
      </c>
      <c r="AQ164" s="1">
        <v>170787</v>
      </c>
      <c r="AR164" s="1">
        <v>23968</v>
      </c>
      <c r="AS164" s="1">
        <v>194755</v>
      </c>
      <c r="AT164" s="4">
        <v>381</v>
      </c>
      <c r="AU164" s="4">
        <v>83</v>
      </c>
      <c r="AV164" s="4">
        <v>464</v>
      </c>
      <c r="AW164" s="4">
        <v>7717</v>
      </c>
      <c r="AX164" s="4">
        <v>935</v>
      </c>
      <c r="AY164" s="4">
        <v>8652</v>
      </c>
      <c r="AZ164" s="4">
        <v>75592</v>
      </c>
      <c r="BA164" s="4">
        <v>9061</v>
      </c>
      <c r="BB164" s="4">
        <v>84653</v>
      </c>
    </row>
    <row r="165" spans="1:54" ht="15.75" x14ac:dyDescent="0.25">
      <c r="A165" s="1" t="s">
        <v>8</v>
      </c>
      <c r="B165" s="1">
        <v>2025</v>
      </c>
      <c r="C165" s="1">
        <v>7.43</v>
      </c>
      <c r="D165" s="1">
        <v>11.100000000000001</v>
      </c>
      <c r="E165" s="1">
        <v>9.83</v>
      </c>
      <c r="F165" s="1">
        <v>18.07</v>
      </c>
      <c r="G165" s="1">
        <v>35.28</v>
      </c>
      <c r="H165" s="1">
        <v>243</v>
      </c>
      <c r="I165" s="1">
        <v>293</v>
      </c>
      <c r="J165" s="1">
        <v>9259</v>
      </c>
      <c r="K165" s="1">
        <v>3468</v>
      </c>
      <c r="L165" s="1">
        <v>136259</v>
      </c>
      <c r="M165" s="1">
        <v>49455</v>
      </c>
      <c r="N165" s="1">
        <f t="shared" si="40"/>
        <v>536</v>
      </c>
      <c r="O165" s="1">
        <f t="shared" si="41"/>
        <v>12727</v>
      </c>
      <c r="P165" s="1">
        <f t="shared" si="42"/>
        <v>185714</v>
      </c>
      <c r="Q165" s="1">
        <v>112</v>
      </c>
      <c r="R165" s="1">
        <v>376</v>
      </c>
      <c r="S165" s="1">
        <v>5445</v>
      </c>
      <c r="T165" s="1">
        <v>5542</v>
      </c>
      <c r="U165" s="1">
        <v>74571</v>
      </c>
      <c r="V165" s="1">
        <v>83572</v>
      </c>
      <c r="W165" s="1">
        <f t="shared" si="43"/>
        <v>488</v>
      </c>
      <c r="X165" s="1">
        <f t="shared" si="44"/>
        <v>10987</v>
      </c>
      <c r="Y165" s="1">
        <f t="shared" si="45"/>
        <v>158143</v>
      </c>
      <c r="Z165" s="1">
        <v>8.82</v>
      </c>
      <c r="AA165" s="1">
        <v>8.3800000000000008</v>
      </c>
      <c r="AB165" s="1">
        <f t="shared" si="38"/>
        <v>8.6000000000000014</v>
      </c>
      <c r="AC165" s="1">
        <v>12.7</v>
      </c>
      <c r="AD165" s="1">
        <v>13.08</v>
      </c>
      <c r="AE165" s="1">
        <f t="shared" si="39"/>
        <v>12.89</v>
      </c>
      <c r="AF165" s="1">
        <f t="shared" si="39"/>
        <v>12.984999999999999</v>
      </c>
      <c r="AG165" s="1">
        <v>99.62</v>
      </c>
      <c r="AH165" s="1">
        <v>95.72</v>
      </c>
      <c r="AI165" s="1">
        <v>75.349999999999994</v>
      </c>
      <c r="AJ165" s="1">
        <v>20.68</v>
      </c>
      <c r="AK165" s="1">
        <v>4282</v>
      </c>
      <c r="AL165" s="1">
        <v>462</v>
      </c>
      <c r="AM165" s="1">
        <v>4744</v>
      </c>
      <c r="AN165" s="1">
        <v>51247</v>
      </c>
      <c r="AO165" s="1">
        <v>6223</v>
      </c>
      <c r="AP165" s="1">
        <v>57470</v>
      </c>
      <c r="AQ165" s="1">
        <v>709223</v>
      </c>
      <c r="AR165" s="1">
        <v>88642</v>
      </c>
      <c r="AS165" s="1">
        <v>797865</v>
      </c>
      <c r="AT165" s="4">
        <v>709</v>
      </c>
      <c r="AU165" s="4">
        <v>797</v>
      </c>
      <c r="AV165" s="4">
        <v>1506</v>
      </c>
      <c r="AW165" s="4">
        <v>16739</v>
      </c>
      <c r="AX165" s="4">
        <v>7816</v>
      </c>
      <c r="AY165" s="4">
        <v>24555</v>
      </c>
      <c r="AZ165" s="4">
        <v>247113</v>
      </c>
      <c r="BA165" s="4">
        <v>96493</v>
      </c>
      <c r="BB165" s="4">
        <v>343606</v>
      </c>
    </row>
    <row r="166" spans="1:54" ht="15.75" x14ac:dyDescent="0.25">
      <c r="A166" s="1" t="s">
        <v>9</v>
      </c>
      <c r="B166" s="1">
        <v>2025</v>
      </c>
      <c r="C166" s="1">
        <v>3.74</v>
      </c>
      <c r="D166" s="1">
        <v>6.5449999999999999</v>
      </c>
      <c r="E166" s="1">
        <v>4.8849999999999998</v>
      </c>
      <c r="F166" s="1">
        <v>18.16</v>
      </c>
      <c r="G166" s="1">
        <v>48.71</v>
      </c>
      <c r="H166" s="1">
        <v>47</v>
      </c>
      <c r="I166" s="1">
        <v>36</v>
      </c>
      <c r="J166" s="1">
        <v>1526</v>
      </c>
      <c r="K166" s="1">
        <v>436</v>
      </c>
      <c r="L166" s="1">
        <v>28783</v>
      </c>
      <c r="M166" s="1">
        <v>5485</v>
      </c>
      <c r="N166" s="1">
        <f t="shared" si="40"/>
        <v>83</v>
      </c>
      <c r="O166" s="1">
        <f t="shared" si="41"/>
        <v>1962</v>
      </c>
      <c r="P166" s="1">
        <f t="shared" si="42"/>
        <v>34268</v>
      </c>
      <c r="Q166" s="1">
        <v>36</v>
      </c>
      <c r="R166" s="1">
        <v>22</v>
      </c>
      <c r="S166" s="1">
        <v>1323</v>
      </c>
      <c r="T166" s="1">
        <v>368</v>
      </c>
      <c r="U166" s="1">
        <v>19892</v>
      </c>
      <c r="V166" s="1">
        <v>4808</v>
      </c>
      <c r="W166" s="1">
        <f t="shared" si="43"/>
        <v>58</v>
      </c>
      <c r="X166" s="1">
        <f t="shared" si="44"/>
        <v>1691</v>
      </c>
      <c r="Y166" s="1">
        <f t="shared" si="45"/>
        <v>24700</v>
      </c>
      <c r="Z166" s="1">
        <v>8.66</v>
      </c>
      <c r="AA166" s="1">
        <v>8.52</v>
      </c>
      <c r="AB166" s="1">
        <f t="shared" si="38"/>
        <v>8.59</v>
      </c>
      <c r="AC166" s="1">
        <v>12.27</v>
      </c>
      <c r="AD166" s="1">
        <v>12.81</v>
      </c>
      <c r="AE166" s="1">
        <f t="shared" si="39"/>
        <v>12.54</v>
      </c>
      <c r="AF166" s="1">
        <f t="shared" si="39"/>
        <v>12.675000000000001</v>
      </c>
      <c r="AG166" s="1">
        <v>99.49</v>
      </c>
      <c r="AH166" s="1">
        <v>92.9</v>
      </c>
      <c r="AI166" s="1">
        <v>76.03</v>
      </c>
      <c r="AJ166" s="1">
        <v>21.13</v>
      </c>
      <c r="AK166" s="1">
        <v>761</v>
      </c>
      <c r="AL166" s="1">
        <v>72</v>
      </c>
      <c r="AM166" s="1">
        <v>833</v>
      </c>
      <c r="AN166" s="1">
        <v>8489</v>
      </c>
      <c r="AO166" s="1">
        <v>1066</v>
      </c>
      <c r="AP166" s="1">
        <v>9555</v>
      </c>
      <c r="AQ166" s="1">
        <v>140903</v>
      </c>
      <c r="AR166" s="1">
        <v>16672</v>
      </c>
      <c r="AS166" s="1">
        <v>157575</v>
      </c>
      <c r="AT166" s="4">
        <v>164</v>
      </c>
      <c r="AU166" s="4">
        <v>77</v>
      </c>
      <c r="AV166" s="4">
        <v>241</v>
      </c>
      <c r="AW166" s="4">
        <v>3159</v>
      </c>
      <c r="AX166" s="4">
        <v>759</v>
      </c>
      <c r="AY166" s="4">
        <v>3918</v>
      </c>
      <c r="AZ166" s="4">
        <v>56150</v>
      </c>
      <c r="BA166" s="4">
        <v>10359</v>
      </c>
      <c r="BB166" s="4">
        <v>66509</v>
      </c>
    </row>
    <row r="167" spans="1:54" ht="15.75" x14ac:dyDescent="0.25">
      <c r="A167" s="1" t="s">
        <v>10</v>
      </c>
      <c r="B167" s="1">
        <v>2025</v>
      </c>
      <c r="C167" s="1">
        <v>3.99</v>
      </c>
      <c r="D167" s="1">
        <v>8.5150000000000006</v>
      </c>
      <c r="E167" s="1">
        <v>4.3499999999999996</v>
      </c>
      <c r="F167" s="1">
        <v>16.16</v>
      </c>
      <c r="G167" s="1">
        <v>65.75</v>
      </c>
      <c r="H167" s="1">
        <v>96</v>
      </c>
      <c r="I167" s="1">
        <v>79</v>
      </c>
      <c r="J167" s="1">
        <v>3057</v>
      </c>
      <c r="K167" s="1">
        <v>848</v>
      </c>
      <c r="L167" s="1">
        <v>50726</v>
      </c>
      <c r="M167" s="1">
        <v>9308</v>
      </c>
      <c r="N167" s="1">
        <f t="shared" si="40"/>
        <v>175</v>
      </c>
      <c r="O167" s="1">
        <f t="shared" si="41"/>
        <v>3905</v>
      </c>
      <c r="P167" s="1">
        <f t="shared" si="42"/>
        <v>60034</v>
      </c>
      <c r="Q167" s="1">
        <v>39</v>
      </c>
      <c r="R167" s="1">
        <v>61</v>
      </c>
      <c r="S167" s="1">
        <v>1781</v>
      </c>
      <c r="T167" s="1">
        <v>736</v>
      </c>
      <c r="U167" s="1">
        <v>34768</v>
      </c>
      <c r="V167" s="1">
        <v>8164</v>
      </c>
      <c r="W167" s="1">
        <f t="shared" si="43"/>
        <v>100</v>
      </c>
      <c r="X167" s="1">
        <f t="shared" si="44"/>
        <v>2517</v>
      </c>
      <c r="Y167" s="1">
        <f t="shared" si="45"/>
        <v>42932</v>
      </c>
      <c r="Z167" s="1">
        <v>10.85</v>
      </c>
      <c r="AA167" s="1">
        <v>10.58</v>
      </c>
      <c r="AB167" s="1">
        <f t="shared" si="38"/>
        <v>10.715</v>
      </c>
      <c r="AC167" s="1">
        <v>13.1</v>
      </c>
      <c r="AD167" s="1">
        <v>13.57</v>
      </c>
      <c r="AE167" s="1">
        <f t="shared" si="39"/>
        <v>13.335000000000001</v>
      </c>
      <c r="AF167" s="1">
        <f t="shared" si="39"/>
        <v>13.452500000000001</v>
      </c>
      <c r="AG167" s="1">
        <v>99.71</v>
      </c>
      <c r="AH167" s="1">
        <v>98.6</v>
      </c>
      <c r="AI167" s="1">
        <v>88.24</v>
      </c>
      <c r="AJ167" s="1">
        <v>26.61</v>
      </c>
      <c r="AK167" s="1">
        <v>683</v>
      </c>
      <c r="AL167" s="1">
        <v>301</v>
      </c>
      <c r="AM167" s="1">
        <v>984</v>
      </c>
      <c r="AN167" s="1">
        <v>9119</v>
      </c>
      <c r="AO167" s="1">
        <v>5058</v>
      </c>
      <c r="AP167" s="1">
        <v>14177</v>
      </c>
      <c r="AQ167" s="1">
        <v>153243</v>
      </c>
      <c r="AR167" s="1">
        <v>74961</v>
      </c>
      <c r="AS167" s="1">
        <v>228204</v>
      </c>
      <c r="AT167" s="4">
        <v>237</v>
      </c>
      <c r="AU167" s="4">
        <v>190</v>
      </c>
      <c r="AV167" s="4">
        <v>427</v>
      </c>
      <c r="AW167" s="4">
        <v>4326</v>
      </c>
      <c r="AX167" s="4">
        <v>2191</v>
      </c>
      <c r="AY167" s="4">
        <v>6517</v>
      </c>
      <c r="AZ167" s="4">
        <v>77576</v>
      </c>
      <c r="BA167" s="4">
        <v>27021</v>
      </c>
      <c r="BB167" s="4">
        <v>104597</v>
      </c>
    </row>
    <row r="168" spans="1:54" ht="15.75" x14ac:dyDescent="0.25">
      <c r="A168" s="1" t="s">
        <v>11</v>
      </c>
      <c r="B168" s="1">
        <v>2025</v>
      </c>
      <c r="C168" s="1">
        <v>4.1550000000000002</v>
      </c>
      <c r="D168" s="1">
        <v>4.1550000000000002</v>
      </c>
      <c r="E168" s="1">
        <v>4.1550000000000002</v>
      </c>
      <c r="F168" s="1">
        <v>12.83</v>
      </c>
      <c r="G168" s="1">
        <v>63.37</v>
      </c>
      <c r="H168" s="1">
        <v>121</v>
      </c>
      <c r="I168" s="1">
        <v>389</v>
      </c>
      <c r="J168" s="1">
        <v>4650</v>
      </c>
      <c r="K168" s="1">
        <v>7333</v>
      </c>
      <c r="L168" s="1">
        <v>89034</v>
      </c>
      <c r="M168" s="1">
        <v>97427</v>
      </c>
      <c r="N168" s="1">
        <f t="shared" si="40"/>
        <v>510</v>
      </c>
      <c r="O168" s="1">
        <f t="shared" si="41"/>
        <v>11983</v>
      </c>
      <c r="P168" s="1">
        <f t="shared" si="42"/>
        <v>186461</v>
      </c>
      <c r="Q168" s="1">
        <v>74</v>
      </c>
      <c r="R168" s="1">
        <v>479</v>
      </c>
      <c r="S168" s="1">
        <v>3295</v>
      </c>
      <c r="T168" s="1">
        <v>8224</v>
      </c>
      <c r="U168" s="1">
        <v>58582</v>
      </c>
      <c r="V168" s="1">
        <v>135596</v>
      </c>
      <c r="W168" s="1">
        <f t="shared" si="43"/>
        <v>553</v>
      </c>
      <c r="X168" s="1">
        <f t="shared" si="44"/>
        <v>11519</v>
      </c>
      <c r="Y168" s="1">
        <f t="shared" si="45"/>
        <v>194178</v>
      </c>
      <c r="Z168" s="1">
        <v>11.88</v>
      </c>
      <c r="AA168" s="1">
        <v>11.31</v>
      </c>
      <c r="AB168" s="1">
        <f t="shared" si="38"/>
        <v>11.595000000000001</v>
      </c>
      <c r="AC168" s="1">
        <v>13.65</v>
      </c>
      <c r="AD168" s="1">
        <v>13.91</v>
      </c>
      <c r="AE168" s="1">
        <f t="shared" si="39"/>
        <v>13.780000000000001</v>
      </c>
      <c r="AF168" s="1">
        <f t="shared" si="39"/>
        <v>13.845000000000001</v>
      </c>
      <c r="AG168" s="1">
        <v>99.32</v>
      </c>
      <c r="AH168" s="1">
        <v>98.74</v>
      </c>
      <c r="AI168" s="1">
        <v>88.22</v>
      </c>
      <c r="AJ168" s="1">
        <v>34.21</v>
      </c>
      <c r="AK168" s="1">
        <v>1305</v>
      </c>
      <c r="AL168" s="1">
        <v>918</v>
      </c>
      <c r="AM168" s="1">
        <v>2223</v>
      </c>
      <c r="AN168" s="1">
        <v>22974</v>
      </c>
      <c r="AO168" s="1">
        <v>15697</v>
      </c>
      <c r="AP168" s="1">
        <v>38671</v>
      </c>
      <c r="AQ168" s="1">
        <v>527062</v>
      </c>
      <c r="AR168" s="1">
        <v>211719</v>
      </c>
      <c r="AS168" s="1">
        <v>738781</v>
      </c>
      <c r="AT168" s="4">
        <v>299</v>
      </c>
      <c r="AU168" s="4">
        <v>775</v>
      </c>
      <c r="AV168" s="4">
        <v>1074</v>
      </c>
      <c r="AW168" s="4">
        <v>9401</v>
      </c>
      <c r="AX168" s="4">
        <v>9649</v>
      </c>
      <c r="AY168" s="4">
        <v>19050</v>
      </c>
      <c r="AZ168" s="4">
        <v>213215</v>
      </c>
      <c r="BA168" s="4">
        <v>149787</v>
      </c>
      <c r="BB168" s="4">
        <v>363002</v>
      </c>
    </row>
    <row r="169" spans="1:54" ht="15.75" x14ac:dyDescent="0.25">
      <c r="A169" s="1" t="s">
        <v>12</v>
      </c>
      <c r="B169" s="1">
        <v>2025</v>
      </c>
      <c r="C169" s="1">
        <v>6.71</v>
      </c>
      <c r="D169" s="1">
        <v>7.7149999999999999</v>
      </c>
      <c r="E169" s="1">
        <v>6.9</v>
      </c>
      <c r="F169" s="1">
        <v>24.84</v>
      </c>
      <c r="G169" s="1">
        <v>45.05</v>
      </c>
      <c r="H169" s="1">
        <v>521</v>
      </c>
      <c r="I169" s="1">
        <v>1337</v>
      </c>
      <c r="J169" s="1">
        <v>26503</v>
      </c>
      <c r="K169" s="1">
        <v>18993</v>
      </c>
      <c r="L169" s="1">
        <v>577942</v>
      </c>
      <c r="M169" s="1">
        <v>292416</v>
      </c>
      <c r="N169" s="1">
        <f t="shared" si="40"/>
        <v>1858</v>
      </c>
      <c r="O169" s="1">
        <f t="shared" si="41"/>
        <v>45496</v>
      </c>
      <c r="P169" s="1">
        <f t="shared" si="42"/>
        <v>870358</v>
      </c>
      <c r="Q169" s="1">
        <v>289</v>
      </c>
      <c r="R169" s="1">
        <v>2602</v>
      </c>
      <c r="S169" s="1">
        <v>18767</v>
      </c>
      <c r="T169" s="1">
        <v>40409</v>
      </c>
      <c r="U169" s="1">
        <v>366888</v>
      </c>
      <c r="V169" s="1">
        <v>664698</v>
      </c>
      <c r="W169" s="1">
        <f t="shared" si="43"/>
        <v>2891</v>
      </c>
      <c r="X169" s="1">
        <f t="shared" si="44"/>
        <v>59176</v>
      </c>
      <c r="Y169" s="1">
        <f t="shared" si="45"/>
        <v>1031586</v>
      </c>
      <c r="Z169" s="1">
        <v>9.4600000000000009</v>
      </c>
      <c r="AA169" s="1">
        <v>8.81</v>
      </c>
      <c r="AB169" s="1">
        <f t="shared" si="38"/>
        <v>9.1350000000000016</v>
      </c>
      <c r="AC169" s="1">
        <v>12.9</v>
      </c>
      <c r="AD169" s="1">
        <v>13.16</v>
      </c>
      <c r="AE169" s="1">
        <f t="shared" si="39"/>
        <v>13.030000000000001</v>
      </c>
      <c r="AF169" s="1">
        <f t="shared" si="39"/>
        <v>13.095000000000001</v>
      </c>
      <c r="AG169" s="1">
        <v>99.5</v>
      </c>
      <c r="AH169" s="1">
        <v>96.58</v>
      </c>
      <c r="AI169" s="1">
        <v>75.8</v>
      </c>
      <c r="AJ169" s="1">
        <v>27.98</v>
      </c>
      <c r="AK169" s="1">
        <v>16936</v>
      </c>
      <c r="AL169" s="1">
        <v>2634</v>
      </c>
      <c r="AM169" s="1">
        <v>19570</v>
      </c>
      <c r="AN169" s="1">
        <v>174913</v>
      </c>
      <c r="AO169" s="1">
        <v>41699</v>
      </c>
      <c r="AP169" s="1">
        <v>216612</v>
      </c>
      <c r="AQ169" s="1">
        <v>3902286</v>
      </c>
      <c r="AR169" s="1">
        <v>645996</v>
      </c>
      <c r="AS169" s="1">
        <v>4548282</v>
      </c>
      <c r="AT169" s="4">
        <v>2013</v>
      </c>
      <c r="AU169" s="4">
        <v>4134</v>
      </c>
      <c r="AV169" s="4">
        <v>6147</v>
      </c>
      <c r="AW169" s="4">
        <v>53546</v>
      </c>
      <c r="AX169" s="4">
        <v>44733</v>
      </c>
      <c r="AY169" s="4">
        <v>98279</v>
      </c>
      <c r="AZ169" s="4">
        <v>1200264</v>
      </c>
      <c r="BA169" s="4">
        <v>687771</v>
      </c>
      <c r="BB169" s="4">
        <v>1888035</v>
      </c>
    </row>
    <row r="170" spans="1:54" ht="15.75" x14ac:dyDescent="0.25">
      <c r="A170" s="1" t="s">
        <v>13</v>
      </c>
      <c r="B170" s="1">
        <v>2025</v>
      </c>
      <c r="C170" s="1">
        <v>9.0449999999999999</v>
      </c>
      <c r="D170" s="1">
        <v>9.8949999999999996</v>
      </c>
      <c r="E170" s="1">
        <v>9.4350000000000005</v>
      </c>
      <c r="F170" s="1">
        <v>16.670000000000002</v>
      </c>
      <c r="G170" s="1">
        <v>41.21</v>
      </c>
      <c r="H170" s="1">
        <v>365</v>
      </c>
      <c r="I170" s="1">
        <v>509</v>
      </c>
      <c r="J170" s="1">
        <v>18277</v>
      </c>
      <c r="K170" s="1">
        <v>8016</v>
      </c>
      <c r="L170" s="1">
        <v>350208</v>
      </c>
      <c r="M170" s="1">
        <v>117697</v>
      </c>
      <c r="N170" s="1">
        <f t="shared" si="40"/>
        <v>874</v>
      </c>
      <c r="O170" s="1">
        <f t="shared" si="41"/>
        <v>26293</v>
      </c>
      <c r="P170" s="1">
        <f t="shared" si="42"/>
        <v>467905</v>
      </c>
      <c r="Q170" s="1">
        <v>239</v>
      </c>
      <c r="R170" s="1">
        <v>1288</v>
      </c>
      <c r="S170" s="1">
        <v>16886</v>
      </c>
      <c r="T170" s="1">
        <v>29687</v>
      </c>
      <c r="U170" s="1">
        <v>305800</v>
      </c>
      <c r="V170" s="1">
        <v>535206</v>
      </c>
      <c r="W170" s="1">
        <f t="shared" si="43"/>
        <v>1527</v>
      </c>
      <c r="X170" s="1">
        <f t="shared" si="44"/>
        <v>46573</v>
      </c>
      <c r="Y170" s="1">
        <f t="shared" si="45"/>
        <v>841006</v>
      </c>
      <c r="Z170" s="1">
        <v>8.4700000000000006</v>
      </c>
      <c r="AA170" s="1">
        <v>7.84</v>
      </c>
      <c r="AB170" s="1">
        <f t="shared" si="38"/>
        <v>8.1550000000000011</v>
      </c>
      <c r="AC170" s="1">
        <v>12.96</v>
      </c>
      <c r="AD170" s="1">
        <v>13.15</v>
      </c>
      <c r="AE170" s="1">
        <f t="shared" si="39"/>
        <v>13.055</v>
      </c>
      <c r="AF170" s="1">
        <f t="shared" si="39"/>
        <v>13.102499999999999</v>
      </c>
      <c r="AG170" s="1">
        <v>99.54</v>
      </c>
      <c r="AH170" s="1">
        <v>97.05</v>
      </c>
      <c r="AI170" s="1">
        <v>77.97</v>
      </c>
      <c r="AJ170" s="1">
        <v>27.44</v>
      </c>
      <c r="AK170" s="1">
        <v>17140</v>
      </c>
      <c r="AL170" s="1">
        <v>1366</v>
      </c>
      <c r="AM170" s="1">
        <v>18506</v>
      </c>
      <c r="AN170" s="1">
        <v>148125</v>
      </c>
      <c r="AO170" s="1">
        <v>19434</v>
      </c>
      <c r="AP170" s="1">
        <v>167559</v>
      </c>
      <c r="AQ170" s="1">
        <v>2253391</v>
      </c>
      <c r="AR170" s="1">
        <v>324853</v>
      </c>
      <c r="AS170" s="1">
        <v>2578244</v>
      </c>
      <c r="AT170" s="4">
        <v>1773</v>
      </c>
      <c r="AU170" s="4">
        <v>1699</v>
      </c>
      <c r="AV170" s="4">
        <v>3472</v>
      </c>
      <c r="AW170" s="4">
        <v>50044</v>
      </c>
      <c r="AX170" s="4">
        <v>19458</v>
      </c>
      <c r="AY170" s="4">
        <v>69502</v>
      </c>
      <c r="AZ170" s="4">
        <v>937212</v>
      </c>
      <c r="BA170" s="4">
        <v>276730</v>
      </c>
      <c r="BB170" s="4">
        <v>1213942</v>
      </c>
    </row>
    <row r="171" spans="1:54" ht="15.75" x14ac:dyDescent="0.25">
      <c r="A171" s="1" t="s">
        <v>14</v>
      </c>
      <c r="B171" s="1">
        <v>2025</v>
      </c>
      <c r="C171" s="1">
        <v>10.074999999999999</v>
      </c>
      <c r="D171" s="1">
        <v>10.414999999999999</v>
      </c>
      <c r="E171" s="1">
        <v>10.155000000000001</v>
      </c>
      <c r="F171" s="1">
        <v>11.25</v>
      </c>
      <c r="G171" s="1">
        <v>46.03</v>
      </c>
      <c r="H171" s="1">
        <v>71</v>
      </c>
      <c r="I171" s="1">
        <v>108</v>
      </c>
      <c r="J171" s="1">
        <v>2442</v>
      </c>
      <c r="K171" s="1">
        <v>1634</v>
      </c>
      <c r="L171" s="1">
        <v>44539</v>
      </c>
      <c r="M171" s="1">
        <v>18699</v>
      </c>
      <c r="N171" s="1">
        <f t="shared" si="40"/>
        <v>179</v>
      </c>
      <c r="O171" s="1">
        <f t="shared" si="41"/>
        <v>4076</v>
      </c>
      <c r="P171" s="1">
        <f t="shared" si="42"/>
        <v>63238</v>
      </c>
      <c r="Q171" s="1">
        <v>50</v>
      </c>
      <c r="R171" s="1">
        <v>156</v>
      </c>
      <c r="S171" s="1">
        <v>3054</v>
      </c>
      <c r="T171" s="1">
        <v>2973</v>
      </c>
      <c r="U171" s="1">
        <v>53048</v>
      </c>
      <c r="V171" s="1">
        <v>37186</v>
      </c>
      <c r="W171" s="1">
        <f t="shared" si="43"/>
        <v>206</v>
      </c>
      <c r="X171" s="1">
        <f t="shared" si="44"/>
        <v>6027</v>
      </c>
      <c r="Y171" s="1">
        <f t="shared" si="45"/>
        <v>90234</v>
      </c>
      <c r="Z171" s="1">
        <v>10.49</v>
      </c>
      <c r="AA171" s="1">
        <v>9.93</v>
      </c>
      <c r="AB171" s="1">
        <f t="shared" si="38"/>
        <v>10.210000000000001</v>
      </c>
      <c r="AC171" s="1">
        <v>15.73</v>
      </c>
      <c r="AD171" s="1">
        <v>15.86</v>
      </c>
      <c r="AE171" s="1">
        <f t="shared" si="39"/>
        <v>15.795</v>
      </c>
      <c r="AF171" s="1">
        <f t="shared" si="39"/>
        <v>15.827500000000001</v>
      </c>
      <c r="AG171" s="1">
        <v>99.61</v>
      </c>
      <c r="AH171" s="1">
        <v>99.6</v>
      </c>
      <c r="AI171" s="1">
        <v>93.03</v>
      </c>
      <c r="AJ171" s="1">
        <v>54.72</v>
      </c>
      <c r="AK171" s="1">
        <v>1414</v>
      </c>
      <c r="AL171" s="1">
        <v>424</v>
      </c>
      <c r="AM171" s="1">
        <v>1838</v>
      </c>
      <c r="AN171" s="1">
        <v>14295</v>
      </c>
      <c r="AO171" s="1">
        <v>5856</v>
      </c>
      <c r="AP171" s="1">
        <v>20151</v>
      </c>
      <c r="AQ171" s="1">
        <v>179962</v>
      </c>
      <c r="AR171" s="1">
        <v>83093</v>
      </c>
      <c r="AS171" s="1">
        <v>263055</v>
      </c>
      <c r="AT171" s="4">
        <v>214</v>
      </c>
      <c r="AU171" s="4">
        <v>242</v>
      </c>
      <c r="AV171" s="4">
        <v>456</v>
      </c>
      <c r="AW171" s="4">
        <v>5413</v>
      </c>
      <c r="AX171" s="4">
        <v>3331</v>
      </c>
      <c r="AY171" s="4">
        <v>8744</v>
      </c>
      <c r="AZ171" s="4">
        <v>92450</v>
      </c>
      <c r="BA171" s="4">
        <v>37242</v>
      </c>
      <c r="BB171" s="4">
        <v>129692</v>
      </c>
    </row>
    <row r="172" spans="1:54" ht="15.75" x14ac:dyDescent="0.25">
      <c r="A172" s="1" t="s">
        <v>15</v>
      </c>
      <c r="B172" s="1">
        <v>2025</v>
      </c>
      <c r="C172" s="1">
        <v>6.9649999999999999</v>
      </c>
      <c r="D172" s="1">
        <v>12.705</v>
      </c>
      <c r="E172" s="1">
        <v>9.4</v>
      </c>
      <c r="F172" s="1">
        <v>16.760000000000002</v>
      </c>
      <c r="G172" s="1">
        <v>38.270000000000003</v>
      </c>
      <c r="H172" s="1">
        <v>429</v>
      </c>
      <c r="I172" s="1">
        <v>1082</v>
      </c>
      <c r="J172" s="1">
        <v>20359</v>
      </c>
      <c r="K172" s="1">
        <v>14286</v>
      </c>
      <c r="L172" s="1">
        <v>361805</v>
      </c>
      <c r="M172" s="1">
        <v>197573</v>
      </c>
      <c r="N172" s="1">
        <f t="shared" si="40"/>
        <v>1511</v>
      </c>
      <c r="O172" s="1">
        <f t="shared" si="41"/>
        <v>34645</v>
      </c>
      <c r="P172" s="1">
        <f t="shared" si="42"/>
        <v>559378</v>
      </c>
      <c r="Q172" s="1">
        <v>299</v>
      </c>
      <c r="R172" s="1">
        <v>1851</v>
      </c>
      <c r="S172" s="1">
        <v>20471</v>
      </c>
      <c r="T172" s="1">
        <v>29327</v>
      </c>
      <c r="U172" s="1">
        <v>355992</v>
      </c>
      <c r="V172" s="1">
        <v>438910</v>
      </c>
      <c r="W172" s="1">
        <f t="shared" si="43"/>
        <v>2150</v>
      </c>
      <c r="X172" s="1">
        <f t="shared" si="44"/>
        <v>49798</v>
      </c>
      <c r="Y172" s="1">
        <f t="shared" si="45"/>
        <v>794902</v>
      </c>
      <c r="Z172" s="1">
        <v>8.81</v>
      </c>
      <c r="AA172" s="1">
        <v>7.99</v>
      </c>
      <c r="AB172" s="1">
        <f t="shared" si="38"/>
        <v>8.4</v>
      </c>
      <c r="AC172" s="1">
        <v>13.34</v>
      </c>
      <c r="AD172" s="1">
        <v>13.66</v>
      </c>
      <c r="AE172" s="1">
        <f t="shared" si="39"/>
        <v>13.5</v>
      </c>
      <c r="AF172" s="1">
        <f t="shared" si="39"/>
        <v>13.58</v>
      </c>
      <c r="AG172" s="1">
        <v>99.28</v>
      </c>
      <c r="AH172" s="1">
        <v>97.15</v>
      </c>
      <c r="AI172" s="1">
        <v>80.959999999999994</v>
      </c>
      <c r="AJ172" s="1">
        <v>28.9</v>
      </c>
      <c r="AK172" s="1">
        <v>16790</v>
      </c>
      <c r="AL172" s="1">
        <v>2133</v>
      </c>
      <c r="AM172" s="1">
        <v>18923</v>
      </c>
      <c r="AN172" s="1">
        <v>153548</v>
      </c>
      <c r="AO172" s="1">
        <v>26765</v>
      </c>
      <c r="AP172" s="1">
        <v>180313</v>
      </c>
      <c r="AQ172" s="1">
        <v>2079218</v>
      </c>
      <c r="AR172" s="1">
        <v>409530</v>
      </c>
      <c r="AS172" s="1">
        <v>2488748</v>
      </c>
      <c r="AT172" s="4">
        <v>1746</v>
      </c>
      <c r="AU172" s="4">
        <v>3341</v>
      </c>
      <c r="AV172" s="4">
        <v>5087</v>
      </c>
      <c r="AW172" s="4">
        <v>46326</v>
      </c>
      <c r="AX172" s="4">
        <v>33602</v>
      </c>
      <c r="AY172" s="4">
        <v>79928</v>
      </c>
      <c r="AZ172" s="4">
        <v>816534</v>
      </c>
      <c r="BA172" s="4">
        <v>417363</v>
      </c>
      <c r="BB172" s="4">
        <v>1233897</v>
      </c>
    </row>
    <row r="173" spans="1:54" ht="15.75" x14ac:dyDescent="0.25">
      <c r="A173" s="1" t="s">
        <v>16</v>
      </c>
      <c r="B173" s="1">
        <v>2025</v>
      </c>
      <c r="C173" s="1">
        <v>5.4649999999999999</v>
      </c>
      <c r="D173" s="1">
        <v>6.08</v>
      </c>
      <c r="E173" s="1">
        <v>5.57</v>
      </c>
      <c r="F173" s="1">
        <v>23.72</v>
      </c>
      <c r="G173" s="1">
        <v>54.88</v>
      </c>
      <c r="H173" s="1">
        <v>163</v>
      </c>
      <c r="I173" s="1">
        <v>455</v>
      </c>
      <c r="J173" s="1">
        <v>7060</v>
      </c>
      <c r="K173" s="1">
        <v>6282</v>
      </c>
      <c r="L173" s="1">
        <v>144162</v>
      </c>
      <c r="M173" s="1">
        <v>84161</v>
      </c>
      <c r="N173" s="1">
        <f t="shared" si="40"/>
        <v>618</v>
      </c>
      <c r="O173" s="1">
        <f t="shared" si="41"/>
        <v>13342</v>
      </c>
      <c r="P173" s="1">
        <f t="shared" si="42"/>
        <v>228323</v>
      </c>
      <c r="Q173" s="1">
        <v>99</v>
      </c>
      <c r="R173" s="1">
        <v>633</v>
      </c>
      <c r="S173" s="1">
        <v>5085</v>
      </c>
      <c r="T173" s="1">
        <v>9497</v>
      </c>
      <c r="U173" s="1">
        <v>94780</v>
      </c>
      <c r="V173" s="1">
        <v>169479</v>
      </c>
      <c r="W173" s="1">
        <f t="shared" si="43"/>
        <v>732</v>
      </c>
      <c r="X173" s="1">
        <f t="shared" si="44"/>
        <v>14582</v>
      </c>
      <c r="Y173" s="1">
        <f t="shared" si="45"/>
        <v>264259</v>
      </c>
      <c r="Z173" s="1">
        <v>9.85</v>
      </c>
      <c r="AA173" s="1">
        <v>9.2200000000000006</v>
      </c>
      <c r="AB173" s="1">
        <f t="shared" si="38"/>
        <v>9.5350000000000001</v>
      </c>
      <c r="AC173" s="1">
        <v>13.05</v>
      </c>
      <c r="AD173" s="1">
        <v>13.29</v>
      </c>
      <c r="AE173" s="1">
        <f t="shared" si="39"/>
        <v>13.17</v>
      </c>
      <c r="AF173" s="1">
        <f t="shared" si="39"/>
        <v>13.23</v>
      </c>
      <c r="AG173" s="1">
        <v>99.52</v>
      </c>
      <c r="AH173" s="1">
        <v>97.11</v>
      </c>
      <c r="AI173" s="1">
        <v>73.84</v>
      </c>
      <c r="AJ173" s="1">
        <v>24.45</v>
      </c>
      <c r="AK173" s="1">
        <v>3852</v>
      </c>
      <c r="AL173" s="1">
        <v>818</v>
      </c>
      <c r="AM173" s="1">
        <v>4670</v>
      </c>
      <c r="AN173" s="1">
        <v>46294</v>
      </c>
      <c r="AO173" s="1">
        <v>13410</v>
      </c>
      <c r="AP173" s="1">
        <v>59704</v>
      </c>
      <c r="AQ173" s="1">
        <v>1029801</v>
      </c>
      <c r="AR173" s="1">
        <v>209743</v>
      </c>
      <c r="AS173" s="1">
        <v>1239544</v>
      </c>
      <c r="AT173" s="4">
        <v>576</v>
      </c>
      <c r="AU173" s="4">
        <v>1053</v>
      </c>
      <c r="AV173" s="4">
        <v>1629</v>
      </c>
      <c r="AW173" s="4">
        <v>14205</v>
      </c>
      <c r="AX173" s="4">
        <v>10411</v>
      </c>
      <c r="AY173" s="4">
        <v>24616</v>
      </c>
      <c r="AZ173" s="4">
        <v>293716</v>
      </c>
      <c r="BA173" s="4">
        <v>168627</v>
      </c>
      <c r="BB173" s="4">
        <v>462343</v>
      </c>
    </row>
    <row r="174" spans="1:54" ht="15.75" x14ac:dyDescent="0.25">
      <c r="A174" s="1" t="s">
        <v>17</v>
      </c>
      <c r="B174" s="1">
        <v>2025</v>
      </c>
      <c r="C174" s="1">
        <v>3.165</v>
      </c>
      <c r="D174" s="1">
        <v>4.7050000000000001</v>
      </c>
      <c r="E174" s="1">
        <v>3.5700000000000003</v>
      </c>
      <c r="F174" s="1">
        <v>5.33</v>
      </c>
      <c r="G174" s="1">
        <v>49.53</v>
      </c>
      <c r="H174" s="1">
        <v>90</v>
      </c>
      <c r="I174" s="1">
        <v>68</v>
      </c>
      <c r="J174" s="1">
        <v>4776</v>
      </c>
      <c r="K174" s="1">
        <v>1055</v>
      </c>
      <c r="L174" s="1">
        <v>72836</v>
      </c>
      <c r="M174" s="1">
        <v>14447</v>
      </c>
      <c r="N174" s="1">
        <f t="shared" si="40"/>
        <v>158</v>
      </c>
      <c r="O174" s="1">
        <f t="shared" si="41"/>
        <v>5831</v>
      </c>
      <c r="P174" s="1">
        <f t="shared" si="42"/>
        <v>87283</v>
      </c>
      <c r="Q174" s="1">
        <v>58</v>
      </c>
      <c r="R174" s="1">
        <v>107</v>
      </c>
      <c r="S174" s="1">
        <v>3618</v>
      </c>
      <c r="T174" s="1">
        <v>2131</v>
      </c>
      <c r="U174" s="1">
        <v>55738</v>
      </c>
      <c r="V174" s="1">
        <v>43869</v>
      </c>
      <c r="W174" s="1">
        <f t="shared" si="43"/>
        <v>165</v>
      </c>
      <c r="X174" s="1">
        <f t="shared" si="44"/>
        <v>5749</v>
      </c>
      <c r="Y174" s="1">
        <f t="shared" si="45"/>
        <v>99607</v>
      </c>
      <c r="Z174" s="1">
        <v>10.37</v>
      </c>
      <c r="AA174" s="1">
        <v>9.1300000000000008</v>
      </c>
      <c r="AB174" s="1">
        <f t="shared" si="38"/>
        <v>9.75</v>
      </c>
      <c r="AC174" s="1">
        <v>13.59</v>
      </c>
      <c r="AD174" s="1">
        <v>13.88</v>
      </c>
      <c r="AE174" s="1">
        <f t="shared" si="39"/>
        <v>13.734999999999999</v>
      </c>
      <c r="AF174" s="1">
        <f t="shared" si="39"/>
        <v>13.807500000000001</v>
      </c>
      <c r="AG174" s="1">
        <v>99.57</v>
      </c>
      <c r="AH174" s="1">
        <v>98.88</v>
      </c>
      <c r="AI174" s="1">
        <v>90.68</v>
      </c>
      <c r="AJ174" s="1">
        <v>34.32</v>
      </c>
      <c r="AK174" s="1">
        <v>2250</v>
      </c>
      <c r="AL174" s="1">
        <v>160</v>
      </c>
      <c r="AM174" s="1">
        <v>2410</v>
      </c>
      <c r="AN174" s="1">
        <v>22012</v>
      </c>
      <c r="AO174" s="1">
        <v>2923</v>
      </c>
      <c r="AP174" s="1">
        <v>24935</v>
      </c>
      <c r="AQ174" s="1">
        <v>335446</v>
      </c>
      <c r="AR174" s="1">
        <v>46178</v>
      </c>
      <c r="AS174" s="1">
        <v>381624</v>
      </c>
      <c r="AT174" s="4">
        <v>279</v>
      </c>
      <c r="AU174" s="4">
        <v>127</v>
      </c>
      <c r="AV174" s="4">
        <v>406</v>
      </c>
      <c r="AW174" s="4">
        <v>9011</v>
      </c>
      <c r="AX174" s="4">
        <v>1788</v>
      </c>
      <c r="AY174" s="4">
        <v>10799</v>
      </c>
      <c r="AZ174" s="4">
        <v>161282</v>
      </c>
      <c r="BA174" s="4">
        <v>28392</v>
      </c>
      <c r="BB174" s="4">
        <v>189674</v>
      </c>
    </row>
    <row r="175" spans="1:54" ht="15.75" x14ac:dyDescent="0.25">
      <c r="A175" s="1" t="s">
        <v>18</v>
      </c>
      <c r="B175" s="1">
        <v>2025</v>
      </c>
      <c r="C175" s="1">
        <v>11.86</v>
      </c>
      <c r="D175" s="1">
        <v>11.265000000000001</v>
      </c>
      <c r="E175" s="1">
        <v>11.58</v>
      </c>
      <c r="F175" s="1">
        <v>16.37</v>
      </c>
      <c r="G175" s="1">
        <v>31.58</v>
      </c>
      <c r="H175" s="1">
        <v>150</v>
      </c>
      <c r="I175" s="1">
        <v>239</v>
      </c>
      <c r="J175" s="1">
        <v>7975</v>
      </c>
      <c r="K175" s="1">
        <v>2576</v>
      </c>
      <c r="L175" s="1">
        <v>104451</v>
      </c>
      <c r="M175" s="1">
        <v>20405</v>
      </c>
      <c r="N175" s="1">
        <f t="shared" si="40"/>
        <v>389</v>
      </c>
      <c r="O175" s="1">
        <f t="shared" si="41"/>
        <v>10551</v>
      </c>
      <c r="P175" s="1">
        <f t="shared" si="42"/>
        <v>124856</v>
      </c>
      <c r="Q175" s="1">
        <v>100</v>
      </c>
      <c r="R175" s="1">
        <v>237</v>
      </c>
      <c r="S175" s="1">
        <v>5802</v>
      </c>
      <c r="T175" s="1">
        <v>2868</v>
      </c>
      <c r="U175" s="1">
        <v>61074</v>
      </c>
      <c r="V175" s="1">
        <v>21850</v>
      </c>
      <c r="W175" s="1">
        <f t="shared" si="43"/>
        <v>337</v>
      </c>
      <c r="X175" s="1">
        <f t="shared" si="44"/>
        <v>8670</v>
      </c>
      <c r="Y175" s="1">
        <f t="shared" si="45"/>
        <v>82924</v>
      </c>
      <c r="Z175" s="1">
        <v>8.75</v>
      </c>
      <c r="AA175" s="1">
        <v>7.62</v>
      </c>
      <c r="AB175" s="1">
        <f t="shared" si="38"/>
        <v>8.1850000000000005</v>
      </c>
      <c r="AC175" s="1">
        <v>14.12</v>
      </c>
      <c r="AD175" s="1">
        <v>13.98</v>
      </c>
      <c r="AE175" s="1">
        <f t="shared" si="39"/>
        <v>14.05</v>
      </c>
      <c r="AF175" s="1">
        <f t="shared" si="39"/>
        <v>14.015000000000001</v>
      </c>
      <c r="AG175" s="1">
        <v>99.38</v>
      </c>
      <c r="AH175" s="1">
        <v>96.92</v>
      </c>
      <c r="AI175" s="1">
        <v>79.209999999999994</v>
      </c>
      <c r="AJ175" s="1">
        <v>28.88</v>
      </c>
      <c r="AK175" s="1">
        <v>3008</v>
      </c>
      <c r="AL175" s="1">
        <v>366</v>
      </c>
      <c r="AM175" s="1">
        <v>3374</v>
      </c>
      <c r="AN175" s="1">
        <v>43403</v>
      </c>
      <c r="AO175" s="1">
        <v>4024</v>
      </c>
      <c r="AP175" s="1">
        <v>47427</v>
      </c>
      <c r="AQ175" s="1">
        <v>478528</v>
      </c>
      <c r="AR175" s="1">
        <v>46505</v>
      </c>
      <c r="AS175" s="1">
        <v>525033</v>
      </c>
      <c r="AT175" s="4">
        <v>606</v>
      </c>
      <c r="AU175" s="4">
        <v>521</v>
      </c>
      <c r="AV175" s="4">
        <v>1127</v>
      </c>
      <c r="AW175" s="4">
        <v>18364</v>
      </c>
      <c r="AX175" s="4">
        <v>5324</v>
      </c>
      <c r="AY175" s="4">
        <v>23688</v>
      </c>
      <c r="AZ175" s="4">
        <v>143215</v>
      </c>
      <c r="BA175" s="4">
        <v>41055</v>
      </c>
      <c r="BB175" s="4">
        <v>184270</v>
      </c>
    </row>
    <row r="176" spans="1:54" ht="15.75" x14ac:dyDescent="0.25">
      <c r="A176" s="1" t="s">
        <v>19</v>
      </c>
      <c r="B176" s="1">
        <v>2025</v>
      </c>
      <c r="C176" s="1">
        <v>7.32</v>
      </c>
      <c r="D176" s="1">
        <v>22.07</v>
      </c>
      <c r="E176" s="1">
        <v>18.05</v>
      </c>
      <c r="F176" s="1">
        <v>17.62</v>
      </c>
      <c r="G176" s="1">
        <v>31.56</v>
      </c>
      <c r="H176" s="1">
        <v>400</v>
      </c>
      <c r="I176" s="1">
        <v>224</v>
      </c>
      <c r="J176" s="1">
        <v>12718</v>
      </c>
      <c r="K176" s="1">
        <v>4449</v>
      </c>
      <c r="L176" s="1">
        <v>138418</v>
      </c>
      <c r="M176" s="1">
        <v>57271</v>
      </c>
      <c r="N176" s="1">
        <f t="shared" si="40"/>
        <v>624</v>
      </c>
      <c r="O176" s="1">
        <f t="shared" si="41"/>
        <v>17167</v>
      </c>
      <c r="P176" s="1">
        <f t="shared" si="42"/>
        <v>195689</v>
      </c>
      <c r="Q176" s="1">
        <v>181</v>
      </c>
      <c r="R176" s="1">
        <v>180</v>
      </c>
      <c r="S176" s="1">
        <v>6419</v>
      </c>
      <c r="T176" s="1">
        <v>3181</v>
      </c>
      <c r="U176" s="1">
        <v>53512</v>
      </c>
      <c r="V176" s="1">
        <v>37413</v>
      </c>
      <c r="W176" s="1">
        <f t="shared" si="43"/>
        <v>361</v>
      </c>
      <c r="X176" s="1">
        <f t="shared" si="44"/>
        <v>9600</v>
      </c>
      <c r="Y176" s="1">
        <f t="shared" si="45"/>
        <v>90925</v>
      </c>
      <c r="Z176" s="1">
        <v>8.36</v>
      </c>
      <c r="AA176" s="1">
        <v>8.14</v>
      </c>
      <c r="AB176" s="1">
        <f t="shared" si="38"/>
        <v>8.25</v>
      </c>
      <c r="AC176" s="1">
        <v>13.33</v>
      </c>
      <c r="AD176" s="1">
        <v>13.57</v>
      </c>
      <c r="AE176" s="1">
        <f t="shared" si="39"/>
        <v>13.45</v>
      </c>
      <c r="AF176" s="1">
        <f t="shared" si="39"/>
        <v>13.51</v>
      </c>
      <c r="AG176" s="1">
        <v>98.89</v>
      </c>
      <c r="AH176" s="1">
        <v>95.44</v>
      </c>
      <c r="AI176" s="1">
        <v>76.650000000000006</v>
      </c>
      <c r="AJ176" s="1">
        <v>31.41</v>
      </c>
      <c r="AK176" s="1">
        <v>3431</v>
      </c>
      <c r="AL176" s="1">
        <v>1825</v>
      </c>
      <c r="AM176" s="1">
        <v>5256</v>
      </c>
      <c r="AN176" s="1">
        <v>39885</v>
      </c>
      <c r="AO176" s="1">
        <v>17121</v>
      </c>
      <c r="AP176" s="1">
        <v>57006</v>
      </c>
      <c r="AQ176" s="1">
        <v>406044</v>
      </c>
      <c r="AR176" s="1">
        <v>235300</v>
      </c>
      <c r="AS176" s="1">
        <v>641344</v>
      </c>
      <c r="AT176" s="4">
        <v>1413</v>
      </c>
      <c r="AU176" s="4">
        <v>468</v>
      </c>
      <c r="AV176" s="4">
        <v>1881</v>
      </c>
      <c r="AW176" s="4">
        <v>26689</v>
      </c>
      <c r="AX176" s="4">
        <v>6028</v>
      </c>
      <c r="AY176" s="4">
        <v>32717</v>
      </c>
      <c r="AZ176" s="4">
        <v>230200</v>
      </c>
      <c r="BA176" s="4">
        <v>73409</v>
      </c>
      <c r="BB176" s="4">
        <v>303609</v>
      </c>
    </row>
    <row r="177" spans="1:54" ht="15.75" x14ac:dyDescent="0.25">
      <c r="A177" s="1" t="s">
        <v>20</v>
      </c>
      <c r="B177" s="1">
        <v>2025</v>
      </c>
      <c r="C177" s="1">
        <v>4.3849999999999998</v>
      </c>
      <c r="D177" s="1">
        <v>7.1349999999999998</v>
      </c>
      <c r="E177" s="1">
        <v>6.0649999999999995</v>
      </c>
      <c r="F177" s="1">
        <v>19.63</v>
      </c>
      <c r="G177" s="1">
        <v>43.61</v>
      </c>
      <c r="H177" s="1">
        <v>291</v>
      </c>
      <c r="I177" s="1">
        <v>186</v>
      </c>
      <c r="J177" s="1">
        <v>6987</v>
      </c>
      <c r="K177" s="1">
        <v>1998</v>
      </c>
      <c r="L177" s="1">
        <v>106263</v>
      </c>
      <c r="M177" s="1">
        <v>29649</v>
      </c>
      <c r="N177" s="1">
        <f t="shared" si="40"/>
        <v>477</v>
      </c>
      <c r="O177" s="1">
        <f t="shared" si="41"/>
        <v>8985</v>
      </c>
      <c r="P177" s="1">
        <f t="shared" si="42"/>
        <v>135912</v>
      </c>
      <c r="Q177" s="1">
        <v>120</v>
      </c>
      <c r="R177" s="1">
        <v>113</v>
      </c>
      <c r="S177" s="1">
        <v>3779</v>
      </c>
      <c r="T177" s="1">
        <v>1201</v>
      </c>
      <c r="U177" s="1">
        <v>58271</v>
      </c>
      <c r="V177" s="1">
        <v>17225</v>
      </c>
      <c r="W177" s="1">
        <f t="shared" si="43"/>
        <v>233</v>
      </c>
      <c r="X177" s="1">
        <f t="shared" si="44"/>
        <v>4980</v>
      </c>
      <c r="Y177" s="1">
        <f t="shared" si="45"/>
        <v>75496</v>
      </c>
      <c r="Z177" s="1">
        <v>8.39</v>
      </c>
      <c r="AA177" s="1">
        <v>7.73</v>
      </c>
      <c r="AB177" s="1">
        <f t="shared" si="38"/>
        <v>8.06</v>
      </c>
      <c r="AC177" s="1">
        <v>12.67</v>
      </c>
      <c r="AD177" s="1">
        <v>13.02</v>
      </c>
      <c r="AE177" s="1">
        <f t="shared" si="39"/>
        <v>12.844999999999999</v>
      </c>
      <c r="AF177" s="1">
        <f t="shared" si="39"/>
        <v>12.932499999999999</v>
      </c>
      <c r="AG177" s="1">
        <v>98.95</v>
      </c>
      <c r="AH177" s="1">
        <v>94.36</v>
      </c>
      <c r="AI177" s="1">
        <v>70.95</v>
      </c>
      <c r="AJ177" s="1">
        <v>26.84</v>
      </c>
      <c r="AK177" s="1">
        <v>4138</v>
      </c>
      <c r="AL177" s="1">
        <v>318</v>
      </c>
      <c r="AM177" s="1">
        <v>4456</v>
      </c>
      <c r="AN177" s="1">
        <v>37167</v>
      </c>
      <c r="AO177" s="1">
        <v>3835</v>
      </c>
      <c r="AP177" s="1">
        <v>41002</v>
      </c>
      <c r="AQ177" s="1">
        <v>487662</v>
      </c>
      <c r="AR177" s="1">
        <v>65001</v>
      </c>
      <c r="AS177" s="1">
        <v>552663</v>
      </c>
      <c r="AT177" s="4">
        <v>1038</v>
      </c>
      <c r="AU177" s="4">
        <v>354</v>
      </c>
      <c r="AV177" s="4">
        <v>1392</v>
      </c>
      <c r="AW177" s="4">
        <v>14215</v>
      </c>
      <c r="AX177" s="4">
        <v>2913</v>
      </c>
      <c r="AY177" s="4">
        <v>17128</v>
      </c>
      <c r="AZ177" s="4">
        <v>191882</v>
      </c>
      <c r="BA177" s="4">
        <v>45039</v>
      </c>
      <c r="BB177" s="4">
        <v>236921</v>
      </c>
    </row>
    <row r="178" spans="1:54" ht="15.75" x14ac:dyDescent="0.25">
      <c r="A178" s="1" t="s">
        <v>21</v>
      </c>
      <c r="B178" s="1">
        <v>2025</v>
      </c>
      <c r="C178" s="1">
        <v>5.15</v>
      </c>
      <c r="D178" s="1">
        <v>4.9949999999999992</v>
      </c>
      <c r="E178" s="1">
        <v>5.0650000000000004</v>
      </c>
      <c r="F178" s="1">
        <v>21.72</v>
      </c>
      <c r="G178" s="1">
        <v>49.85</v>
      </c>
      <c r="H178" s="1">
        <v>183</v>
      </c>
      <c r="I178" s="1">
        <v>69</v>
      </c>
      <c r="J178" s="1">
        <v>4530</v>
      </c>
      <c r="K178" s="1">
        <v>731</v>
      </c>
      <c r="L178" s="1">
        <v>57939</v>
      </c>
      <c r="M178" s="1">
        <v>6580</v>
      </c>
      <c r="N178" s="1">
        <f t="shared" si="40"/>
        <v>252</v>
      </c>
      <c r="O178" s="1">
        <f t="shared" si="41"/>
        <v>5261</v>
      </c>
      <c r="P178" s="1">
        <f t="shared" si="42"/>
        <v>64519</v>
      </c>
      <c r="Q178" s="1">
        <v>95</v>
      </c>
      <c r="R178" s="1">
        <v>46</v>
      </c>
      <c r="S178" s="1">
        <v>2588</v>
      </c>
      <c r="T178" s="1">
        <v>582</v>
      </c>
      <c r="U178" s="1">
        <v>27408</v>
      </c>
      <c r="V178" s="1">
        <v>5859</v>
      </c>
      <c r="W178" s="1">
        <f t="shared" si="43"/>
        <v>141</v>
      </c>
      <c r="X178" s="1">
        <f t="shared" si="44"/>
        <v>3170</v>
      </c>
      <c r="Y178" s="1">
        <f t="shared" si="45"/>
        <v>33267</v>
      </c>
      <c r="Z178" s="1">
        <v>9.1300000000000008</v>
      </c>
      <c r="AA178" s="1">
        <v>8.77</v>
      </c>
      <c r="AB178" s="1">
        <f t="shared" si="38"/>
        <v>8.9499999999999993</v>
      </c>
      <c r="AC178" s="1">
        <v>12.89</v>
      </c>
      <c r="AD178" s="1">
        <v>12.78</v>
      </c>
      <c r="AE178" s="1">
        <f t="shared" si="39"/>
        <v>12.835000000000001</v>
      </c>
      <c r="AF178" s="1">
        <f t="shared" si="39"/>
        <v>12.807500000000001</v>
      </c>
      <c r="AG178" s="1">
        <v>99.45</v>
      </c>
      <c r="AH178" s="1">
        <v>95.74</v>
      </c>
      <c r="AI178" s="1">
        <v>70.760000000000005</v>
      </c>
      <c r="AJ178" s="1">
        <v>24.91</v>
      </c>
      <c r="AK178" s="1">
        <v>2410</v>
      </c>
      <c r="AL178" s="1">
        <v>242</v>
      </c>
      <c r="AM178" s="1">
        <v>2652</v>
      </c>
      <c r="AN178" s="1">
        <v>23654</v>
      </c>
      <c r="AO178" s="1">
        <v>2858</v>
      </c>
      <c r="AP178" s="1">
        <v>26512</v>
      </c>
      <c r="AQ178" s="1">
        <v>230892</v>
      </c>
      <c r="AR178" s="1">
        <v>46196</v>
      </c>
      <c r="AS178" s="1">
        <v>277088</v>
      </c>
      <c r="AT178" s="4">
        <v>722</v>
      </c>
      <c r="AU178" s="4">
        <v>165</v>
      </c>
      <c r="AV178" s="4">
        <v>887</v>
      </c>
      <c r="AW178" s="4">
        <v>9212</v>
      </c>
      <c r="AX178" s="4">
        <v>1502</v>
      </c>
      <c r="AY178" s="4">
        <v>10714</v>
      </c>
      <c r="AZ178" s="4">
        <v>89113</v>
      </c>
      <c r="BA178" s="4">
        <v>20148</v>
      </c>
      <c r="BB178" s="4">
        <v>109261</v>
      </c>
    </row>
    <row r="179" spans="1:54" ht="15.75" x14ac:dyDescent="0.25">
      <c r="A179" s="1" t="s">
        <v>22</v>
      </c>
      <c r="B179" s="1">
        <v>2025</v>
      </c>
      <c r="C179" s="1">
        <v>3.17</v>
      </c>
      <c r="D179" s="1">
        <v>4.415</v>
      </c>
      <c r="E179" s="1">
        <v>3.7850000000000001</v>
      </c>
      <c r="F179" s="1">
        <v>18.59</v>
      </c>
      <c r="G179" s="1">
        <v>46.52</v>
      </c>
      <c r="H179" s="1">
        <v>144</v>
      </c>
      <c r="I179" s="1">
        <v>68</v>
      </c>
      <c r="J179" s="1">
        <v>4367</v>
      </c>
      <c r="K179" s="1">
        <v>834</v>
      </c>
      <c r="L179" s="1">
        <v>63895</v>
      </c>
      <c r="M179" s="1">
        <v>7454</v>
      </c>
      <c r="N179" s="1">
        <f t="shared" si="40"/>
        <v>212</v>
      </c>
      <c r="O179" s="1">
        <f t="shared" si="41"/>
        <v>5201</v>
      </c>
      <c r="P179" s="1">
        <f t="shared" si="42"/>
        <v>71349</v>
      </c>
      <c r="Q179" s="1">
        <v>65</v>
      </c>
      <c r="R179" s="1">
        <v>63</v>
      </c>
      <c r="S179" s="1">
        <v>3127</v>
      </c>
      <c r="T179" s="1">
        <v>1111</v>
      </c>
      <c r="U179" s="1">
        <v>46001</v>
      </c>
      <c r="V179" s="1">
        <v>13856</v>
      </c>
      <c r="W179" s="1">
        <f t="shared" si="43"/>
        <v>128</v>
      </c>
      <c r="X179" s="1">
        <f t="shared" si="44"/>
        <v>4238</v>
      </c>
      <c r="Y179" s="1">
        <f t="shared" si="45"/>
        <v>59857</v>
      </c>
      <c r="Z179" s="1">
        <v>9.1</v>
      </c>
      <c r="AA179" s="1">
        <v>8.5299999999999994</v>
      </c>
      <c r="AB179" s="1">
        <f t="shared" si="38"/>
        <v>8.8149999999999995</v>
      </c>
      <c r="AC179" s="1">
        <v>12.89</v>
      </c>
      <c r="AD179" s="1">
        <v>13.37</v>
      </c>
      <c r="AE179" s="1">
        <f t="shared" si="39"/>
        <v>13.129999999999999</v>
      </c>
      <c r="AF179" s="1">
        <f t="shared" si="39"/>
        <v>13.25</v>
      </c>
      <c r="AG179" s="1">
        <v>99.14</v>
      </c>
      <c r="AH179" s="1">
        <v>93.82</v>
      </c>
      <c r="AI179" s="1">
        <v>75.16</v>
      </c>
      <c r="AJ179" s="1">
        <v>30.91</v>
      </c>
      <c r="AK179" s="1">
        <v>2739</v>
      </c>
      <c r="AL179" s="1">
        <v>193</v>
      </c>
      <c r="AM179" s="1">
        <v>2932</v>
      </c>
      <c r="AN179" s="1">
        <v>27329</v>
      </c>
      <c r="AO179" s="1">
        <v>2547</v>
      </c>
      <c r="AP179" s="1">
        <v>29876</v>
      </c>
      <c r="AQ179" s="1">
        <v>312010</v>
      </c>
      <c r="AR179" s="1">
        <v>37078</v>
      </c>
      <c r="AS179" s="1">
        <v>349088</v>
      </c>
      <c r="AT179" s="4">
        <v>527</v>
      </c>
      <c r="AU179" s="4">
        <v>119</v>
      </c>
      <c r="AV179" s="4">
        <v>646</v>
      </c>
      <c r="AW179" s="4">
        <v>8385</v>
      </c>
      <c r="AX179" s="4">
        <v>1267</v>
      </c>
      <c r="AY179" s="4">
        <v>9652</v>
      </c>
      <c r="AZ179" s="4">
        <v>102792</v>
      </c>
      <c r="BA179" s="4">
        <v>14406</v>
      </c>
      <c r="BB179" s="4">
        <v>117198</v>
      </c>
    </row>
    <row r="180" spans="1:54" ht="15.75" x14ac:dyDescent="0.25">
      <c r="A180" s="1" t="s">
        <v>23</v>
      </c>
      <c r="B180" s="1">
        <v>2025</v>
      </c>
      <c r="C180" s="1">
        <v>4.2349999999999994</v>
      </c>
      <c r="D180" s="1">
        <v>7.36</v>
      </c>
      <c r="E180" s="1">
        <v>5.18</v>
      </c>
      <c r="F180" s="1">
        <v>18.29</v>
      </c>
      <c r="G180" s="1">
        <v>56.78</v>
      </c>
      <c r="H180" s="1">
        <v>148</v>
      </c>
      <c r="I180" s="1">
        <v>92</v>
      </c>
      <c r="J180" s="1">
        <v>4589</v>
      </c>
      <c r="K180" s="1">
        <v>1197</v>
      </c>
      <c r="L180" s="1">
        <v>73352</v>
      </c>
      <c r="M180" s="1">
        <v>13706</v>
      </c>
      <c r="N180" s="1">
        <f t="shared" si="40"/>
        <v>240</v>
      </c>
      <c r="O180" s="1">
        <f t="shared" si="41"/>
        <v>5786</v>
      </c>
      <c r="P180" s="1">
        <f t="shared" si="42"/>
        <v>87058</v>
      </c>
      <c r="Q180" s="1">
        <v>89</v>
      </c>
      <c r="R180" s="1">
        <v>123</v>
      </c>
      <c r="S180" s="1">
        <v>3630</v>
      </c>
      <c r="T180" s="1">
        <v>1885</v>
      </c>
      <c r="U180" s="1">
        <v>56211</v>
      </c>
      <c r="V180" s="1">
        <v>29280</v>
      </c>
      <c r="W180" s="1">
        <f t="shared" si="43"/>
        <v>212</v>
      </c>
      <c r="X180" s="1">
        <f t="shared" si="44"/>
        <v>5515</v>
      </c>
      <c r="Y180" s="1">
        <f t="shared" si="45"/>
        <v>85491</v>
      </c>
      <c r="Z180" s="1">
        <v>10.41</v>
      </c>
      <c r="AA180" s="1">
        <v>9.83</v>
      </c>
      <c r="AB180" s="1">
        <f t="shared" si="38"/>
        <v>10.120000000000001</v>
      </c>
      <c r="AC180" s="1">
        <v>13.89</v>
      </c>
      <c r="AD180" s="1">
        <v>14.23</v>
      </c>
      <c r="AE180" s="1">
        <f t="shared" si="39"/>
        <v>14.06</v>
      </c>
      <c r="AF180" s="1">
        <f t="shared" si="39"/>
        <v>14.145</v>
      </c>
      <c r="AG180" s="1">
        <v>99.64</v>
      </c>
      <c r="AH180" s="1">
        <v>97.34</v>
      </c>
      <c r="AI180" s="1">
        <v>84.15</v>
      </c>
      <c r="AJ180" s="1">
        <v>33.15</v>
      </c>
      <c r="AK180" s="1">
        <v>1668</v>
      </c>
      <c r="AL180" s="1">
        <v>287</v>
      </c>
      <c r="AM180" s="1">
        <v>1955</v>
      </c>
      <c r="AN180" s="1">
        <v>23251</v>
      </c>
      <c r="AO180" s="1">
        <v>4346</v>
      </c>
      <c r="AP180" s="1">
        <v>27597</v>
      </c>
      <c r="AQ180" s="1">
        <v>352800</v>
      </c>
      <c r="AR180" s="1">
        <v>72773</v>
      </c>
      <c r="AS180" s="1">
        <v>425573</v>
      </c>
      <c r="AT180" s="4">
        <v>464</v>
      </c>
      <c r="AU180" s="4">
        <v>255</v>
      </c>
      <c r="AV180" s="4">
        <v>719</v>
      </c>
      <c r="AW180" s="4">
        <v>9117</v>
      </c>
      <c r="AX180" s="4">
        <v>2546</v>
      </c>
      <c r="AY180" s="4">
        <v>11663</v>
      </c>
      <c r="AZ180" s="4">
        <v>136945</v>
      </c>
      <c r="BA180" s="4">
        <v>33554</v>
      </c>
      <c r="BB180" s="4">
        <v>170499</v>
      </c>
    </row>
    <row r="181" spans="1:54" ht="15.75" x14ac:dyDescent="0.25">
      <c r="A181" s="1" t="s">
        <v>24</v>
      </c>
      <c r="B181" s="1">
        <v>2025</v>
      </c>
      <c r="C181" s="1">
        <v>5.5649999999999995</v>
      </c>
      <c r="D181" s="1">
        <v>5.35</v>
      </c>
      <c r="E181" s="1">
        <v>5.5049999999999999</v>
      </c>
      <c r="F181" s="1">
        <v>18.88</v>
      </c>
      <c r="G181" s="1">
        <v>51.56</v>
      </c>
      <c r="H181" s="1">
        <v>49</v>
      </c>
      <c r="I181" s="1">
        <v>24</v>
      </c>
      <c r="J181" s="1">
        <v>1233</v>
      </c>
      <c r="K181" s="1">
        <v>278</v>
      </c>
      <c r="L181" s="1">
        <v>18300</v>
      </c>
      <c r="M181" s="1">
        <v>2246</v>
      </c>
      <c r="N181" s="1">
        <f t="shared" si="40"/>
        <v>73</v>
      </c>
      <c r="O181" s="1">
        <f t="shared" si="41"/>
        <v>1511</v>
      </c>
      <c r="P181" s="1">
        <f t="shared" si="42"/>
        <v>20546</v>
      </c>
      <c r="Q181" s="1">
        <v>22</v>
      </c>
      <c r="R181" s="1">
        <v>12</v>
      </c>
      <c r="S181" s="1">
        <v>774</v>
      </c>
      <c r="T181" s="1">
        <v>141</v>
      </c>
      <c r="U181" s="1">
        <v>9737</v>
      </c>
      <c r="V181" s="1">
        <v>827</v>
      </c>
      <c r="W181" s="1">
        <f t="shared" si="43"/>
        <v>34</v>
      </c>
      <c r="X181" s="1">
        <f t="shared" si="44"/>
        <v>915</v>
      </c>
      <c r="Y181" s="1">
        <f t="shared" si="45"/>
        <v>10564</v>
      </c>
      <c r="Z181" s="1">
        <v>9.8000000000000007</v>
      </c>
      <c r="AA181" s="1">
        <v>9.3000000000000007</v>
      </c>
      <c r="AB181" s="1">
        <f t="shared" si="38"/>
        <v>9.5500000000000007</v>
      </c>
      <c r="AC181" s="1">
        <v>13.01</v>
      </c>
      <c r="AD181" s="1">
        <v>13.74</v>
      </c>
      <c r="AE181" s="1">
        <f t="shared" si="39"/>
        <v>13.375</v>
      </c>
      <c r="AF181" s="1">
        <f t="shared" si="39"/>
        <v>13.557500000000001</v>
      </c>
      <c r="AG181" s="1">
        <v>99.14</v>
      </c>
      <c r="AH181" s="1">
        <v>95.96</v>
      </c>
      <c r="AI181" s="1">
        <v>81.93</v>
      </c>
      <c r="AJ181" s="1">
        <v>29.25</v>
      </c>
      <c r="AK181" s="1">
        <v>437</v>
      </c>
      <c r="AL181" s="1">
        <v>53</v>
      </c>
      <c r="AM181" s="1">
        <v>490</v>
      </c>
      <c r="AN181" s="1">
        <v>5457</v>
      </c>
      <c r="AO181" s="1">
        <v>713</v>
      </c>
      <c r="AP181" s="1">
        <v>6170</v>
      </c>
      <c r="AQ181" s="1">
        <v>70049</v>
      </c>
      <c r="AR181" s="1">
        <v>10787</v>
      </c>
      <c r="AS181" s="1">
        <v>80836</v>
      </c>
      <c r="AT181" s="4">
        <v>157</v>
      </c>
      <c r="AU181" s="4">
        <v>43</v>
      </c>
      <c r="AV181" s="4">
        <v>200</v>
      </c>
      <c r="AW181" s="4">
        <v>2559</v>
      </c>
      <c r="AX181" s="4">
        <v>404</v>
      </c>
      <c r="AY181" s="4">
        <v>2963</v>
      </c>
      <c r="AZ181" s="4">
        <v>29891</v>
      </c>
      <c r="BA181" s="4">
        <v>4043</v>
      </c>
      <c r="BB181" s="4">
        <v>33934</v>
      </c>
    </row>
    <row r="182" spans="1:54" ht="15.75" x14ac:dyDescent="0.25">
      <c r="A182" s="1" t="s">
        <v>25</v>
      </c>
      <c r="B182" s="1">
        <v>2025</v>
      </c>
      <c r="C182" s="1">
        <v>4.0999999999999996</v>
      </c>
      <c r="D182" s="1">
        <v>10.029999999999999</v>
      </c>
      <c r="E182" s="1">
        <v>6.665</v>
      </c>
      <c r="F182" s="1">
        <v>29.52</v>
      </c>
      <c r="G182" s="1">
        <v>45.44</v>
      </c>
      <c r="H182" s="1">
        <v>122</v>
      </c>
      <c r="I182" s="1">
        <v>105</v>
      </c>
      <c r="J182" s="1">
        <v>3540</v>
      </c>
      <c r="K182" s="1">
        <v>927</v>
      </c>
      <c r="L182" s="1">
        <v>48355</v>
      </c>
      <c r="M182" s="1">
        <v>12927</v>
      </c>
      <c r="N182" s="1">
        <f t="shared" si="40"/>
        <v>227</v>
      </c>
      <c r="O182" s="1">
        <f t="shared" si="41"/>
        <v>4467</v>
      </c>
      <c r="P182" s="1">
        <f t="shared" si="42"/>
        <v>61282</v>
      </c>
      <c r="Q182" s="1">
        <v>94</v>
      </c>
      <c r="R182" s="1">
        <v>97</v>
      </c>
      <c r="S182" s="1">
        <v>3026</v>
      </c>
      <c r="T182" s="1">
        <v>946</v>
      </c>
      <c r="U182" s="1">
        <v>29440</v>
      </c>
      <c r="V182" s="1">
        <v>10000</v>
      </c>
      <c r="W182" s="1">
        <f t="shared" si="43"/>
        <v>191</v>
      </c>
      <c r="X182" s="1">
        <f t="shared" si="44"/>
        <v>3972</v>
      </c>
      <c r="Y182" s="1">
        <f t="shared" si="45"/>
        <v>39440</v>
      </c>
      <c r="Z182" s="1">
        <v>9.7899999999999991</v>
      </c>
      <c r="AA182" s="1">
        <v>10.039999999999999</v>
      </c>
      <c r="AB182" s="1">
        <f t="shared" si="38"/>
        <v>9.9149999999999991</v>
      </c>
      <c r="AC182" s="1">
        <v>12.81</v>
      </c>
      <c r="AD182" s="1">
        <v>13.53</v>
      </c>
      <c r="AE182" s="1">
        <f t="shared" si="39"/>
        <v>13.17</v>
      </c>
      <c r="AF182" s="1">
        <f t="shared" si="39"/>
        <v>13.35</v>
      </c>
      <c r="AG182" s="1">
        <v>99.28</v>
      </c>
      <c r="AH182" s="1">
        <v>96.11</v>
      </c>
      <c r="AI182" s="1">
        <v>71.45</v>
      </c>
      <c r="AJ182" s="1">
        <v>25.57</v>
      </c>
      <c r="AK182" s="1">
        <v>1350</v>
      </c>
      <c r="AL182" s="1">
        <v>861</v>
      </c>
      <c r="AM182" s="1">
        <v>2211</v>
      </c>
      <c r="AN182" s="1">
        <v>14623</v>
      </c>
      <c r="AO182" s="1">
        <v>5901</v>
      </c>
      <c r="AP182" s="1">
        <v>20524</v>
      </c>
      <c r="AQ182" s="1">
        <v>136974</v>
      </c>
      <c r="AR182" s="1">
        <v>82176</v>
      </c>
      <c r="AS182" s="1">
        <v>219150</v>
      </c>
      <c r="AT182" s="4">
        <v>480</v>
      </c>
      <c r="AU182" s="4">
        <v>255</v>
      </c>
      <c r="AV182" s="4">
        <v>735</v>
      </c>
      <c r="AW182" s="4">
        <v>8330</v>
      </c>
      <c r="AX182" s="4">
        <v>1907</v>
      </c>
      <c r="AY182" s="4">
        <v>10237</v>
      </c>
      <c r="AZ182" s="4">
        <v>73014</v>
      </c>
      <c r="BA182" s="4">
        <v>24105</v>
      </c>
      <c r="BB182" s="4">
        <v>97119</v>
      </c>
    </row>
    <row r="183" spans="1:54" ht="15.75" x14ac:dyDescent="0.25">
      <c r="A183" s="1" t="s">
        <v>26</v>
      </c>
      <c r="B183" s="1">
        <v>2025</v>
      </c>
      <c r="C183" s="1">
        <v>6.69</v>
      </c>
      <c r="D183" s="1">
        <v>12.795</v>
      </c>
      <c r="E183" s="1">
        <v>10.719999999999999</v>
      </c>
      <c r="F183" s="1">
        <v>20.14</v>
      </c>
      <c r="G183" s="1">
        <v>35.43</v>
      </c>
      <c r="H183" s="1">
        <v>178</v>
      </c>
      <c r="I183" s="1">
        <v>61</v>
      </c>
      <c r="J183" s="1">
        <v>5273</v>
      </c>
      <c r="K183" s="1">
        <v>645</v>
      </c>
      <c r="L183" s="1">
        <v>70844</v>
      </c>
      <c r="M183" s="1">
        <v>6976</v>
      </c>
      <c r="N183" s="1">
        <f t="shared" si="40"/>
        <v>239</v>
      </c>
      <c r="O183" s="1">
        <f t="shared" si="41"/>
        <v>5918</v>
      </c>
      <c r="P183" s="1">
        <f t="shared" si="42"/>
        <v>77820</v>
      </c>
      <c r="Q183" s="1">
        <v>107</v>
      </c>
      <c r="R183" s="1">
        <v>78</v>
      </c>
      <c r="S183" s="1">
        <v>3244</v>
      </c>
      <c r="T183" s="1">
        <v>815</v>
      </c>
      <c r="U183" s="1">
        <v>30793</v>
      </c>
      <c r="V183" s="1">
        <v>8466</v>
      </c>
      <c r="W183" s="1">
        <f t="shared" si="43"/>
        <v>185</v>
      </c>
      <c r="X183" s="1">
        <f t="shared" si="44"/>
        <v>4059</v>
      </c>
      <c r="Y183" s="1">
        <f t="shared" si="45"/>
        <v>39259</v>
      </c>
      <c r="Z183" s="1">
        <v>9.17</v>
      </c>
      <c r="AA183" s="1">
        <v>9.0500000000000007</v>
      </c>
      <c r="AB183" s="1">
        <f t="shared" si="38"/>
        <v>9.11</v>
      </c>
      <c r="AC183" s="1">
        <v>13.19</v>
      </c>
      <c r="AD183" s="1">
        <v>13.85</v>
      </c>
      <c r="AE183" s="1">
        <f t="shared" si="39"/>
        <v>13.52</v>
      </c>
      <c r="AF183" s="1">
        <f t="shared" si="39"/>
        <v>13.684999999999999</v>
      </c>
      <c r="AG183" s="1">
        <v>98.56</v>
      </c>
      <c r="AH183" s="1">
        <v>94.58</v>
      </c>
      <c r="AI183" s="1">
        <v>75.36</v>
      </c>
      <c r="AJ183" s="1">
        <v>26.5</v>
      </c>
      <c r="AK183" s="1">
        <v>2675</v>
      </c>
      <c r="AL183" s="1">
        <v>276</v>
      </c>
      <c r="AM183" s="1">
        <v>2951</v>
      </c>
      <c r="AN183" s="1">
        <v>27325</v>
      </c>
      <c r="AO183" s="1">
        <v>2308</v>
      </c>
      <c r="AP183" s="1">
        <v>29633</v>
      </c>
      <c r="AQ183" s="1">
        <v>289530</v>
      </c>
      <c r="AR183" s="1">
        <v>29191</v>
      </c>
      <c r="AS183" s="1">
        <v>318721</v>
      </c>
      <c r="AT183" s="4">
        <v>741</v>
      </c>
      <c r="AU183" s="4">
        <v>148</v>
      </c>
      <c r="AV183" s="4">
        <v>889</v>
      </c>
      <c r="AW183" s="4">
        <v>11224</v>
      </c>
      <c r="AX183" s="4">
        <v>1043</v>
      </c>
      <c r="AY183" s="4">
        <v>12267</v>
      </c>
      <c r="AZ183" s="4">
        <v>102436</v>
      </c>
      <c r="BA183" s="4">
        <v>11416</v>
      </c>
      <c r="BB183" s="4">
        <v>113852</v>
      </c>
    </row>
    <row r="184" spans="1:54" ht="15.75" x14ac:dyDescent="0.25">
      <c r="A184" s="1" t="s">
        <v>27</v>
      </c>
      <c r="B184" s="1">
        <v>2025</v>
      </c>
      <c r="C184" s="1">
        <v>5.1549999999999994</v>
      </c>
      <c r="D184" s="1">
        <v>9.7200000000000006</v>
      </c>
      <c r="E184" s="1">
        <v>7.5149999999999997</v>
      </c>
      <c r="F184" s="1">
        <v>19.2</v>
      </c>
      <c r="G184" s="1">
        <v>39.549999999999997</v>
      </c>
      <c r="H184" s="1">
        <v>340</v>
      </c>
      <c r="I184" s="1">
        <v>277</v>
      </c>
      <c r="J184" s="1">
        <v>12950</v>
      </c>
      <c r="K184" s="1">
        <v>3085</v>
      </c>
      <c r="L184" s="1">
        <v>190864</v>
      </c>
      <c r="M184" s="1">
        <v>34958</v>
      </c>
      <c r="N184" s="1">
        <f t="shared" si="40"/>
        <v>617</v>
      </c>
      <c r="O184" s="1">
        <f t="shared" si="41"/>
        <v>16035</v>
      </c>
      <c r="P184" s="1">
        <f t="shared" si="42"/>
        <v>225822</v>
      </c>
      <c r="Q184" s="1">
        <v>168</v>
      </c>
      <c r="R184" s="1">
        <v>227</v>
      </c>
      <c r="S184" s="1">
        <v>7604</v>
      </c>
      <c r="T184" s="1">
        <v>2656</v>
      </c>
      <c r="U184" s="1">
        <v>85742</v>
      </c>
      <c r="V184" s="1">
        <v>29437</v>
      </c>
      <c r="W184" s="1">
        <f t="shared" si="43"/>
        <v>395</v>
      </c>
      <c r="X184" s="1">
        <f t="shared" si="44"/>
        <v>10260</v>
      </c>
      <c r="Y184" s="1">
        <f t="shared" si="45"/>
        <v>115179</v>
      </c>
      <c r="Z184" s="1">
        <v>9.09</v>
      </c>
      <c r="AA184" s="1">
        <v>8.92</v>
      </c>
      <c r="AB184" s="1">
        <f t="shared" si="38"/>
        <v>9.004999999999999</v>
      </c>
      <c r="AC184" s="1">
        <v>13.44</v>
      </c>
      <c r="AD184" s="1">
        <v>13.91</v>
      </c>
      <c r="AE184" s="1">
        <f t="shared" si="39"/>
        <v>13.675000000000001</v>
      </c>
      <c r="AF184" s="1">
        <f t="shared" si="39"/>
        <v>13.7925</v>
      </c>
      <c r="AG184" s="1">
        <v>99.21</v>
      </c>
      <c r="AH184" s="1">
        <v>94.22</v>
      </c>
      <c r="AI184" s="1">
        <v>75.94</v>
      </c>
      <c r="AJ184" s="1">
        <v>33.799999999999997</v>
      </c>
      <c r="AK184" s="1">
        <v>6067</v>
      </c>
      <c r="AL184" s="1">
        <v>401</v>
      </c>
      <c r="AM184" s="1">
        <v>6468</v>
      </c>
      <c r="AN184" s="1">
        <v>65370</v>
      </c>
      <c r="AO184" s="1">
        <v>5918</v>
      </c>
      <c r="AP184" s="1">
        <v>71288</v>
      </c>
      <c r="AQ184" s="1">
        <v>800828</v>
      </c>
      <c r="AR184" s="1">
        <v>80037</v>
      </c>
      <c r="AS184" s="1">
        <v>880865</v>
      </c>
      <c r="AT184" s="4">
        <v>1276</v>
      </c>
      <c r="AU184" s="4">
        <v>486</v>
      </c>
      <c r="AV184" s="4">
        <v>1762</v>
      </c>
      <c r="AW184" s="4">
        <v>24896</v>
      </c>
      <c r="AX184" s="4">
        <v>4734</v>
      </c>
      <c r="AY184" s="4">
        <v>29630</v>
      </c>
      <c r="AZ184" s="4">
        <v>286657</v>
      </c>
      <c r="BA184" s="4">
        <v>54863</v>
      </c>
      <c r="BB184" s="4">
        <v>341520</v>
      </c>
    </row>
    <row r="185" spans="1:54" ht="15.75" x14ac:dyDescent="0.25">
      <c r="A185" s="1" t="s">
        <v>28</v>
      </c>
      <c r="B185" s="1">
        <v>2025</v>
      </c>
      <c r="C185" s="1">
        <v>6.5350000000000001</v>
      </c>
      <c r="D185" s="1">
        <v>12.895</v>
      </c>
      <c r="E185" s="1">
        <v>10.34</v>
      </c>
      <c r="F185" s="1">
        <v>19.84</v>
      </c>
      <c r="G185" s="1">
        <v>38.869999999999997</v>
      </c>
      <c r="H185" s="1">
        <v>255</v>
      </c>
      <c r="I185" s="1">
        <v>63</v>
      </c>
      <c r="J185" s="1">
        <v>8794</v>
      </c>
      <c r="K185" s="1">
        <v>601</v>
      </c>
      <c r="L185" s="1">
        <v>87380</v>
      </c>
      <c r="M185" s="1">
        <v>4624</v>
      </c>
      <c r="N185" s="1">
        <f t="shared" si="40"/>
        <v>318</v>
      </c>
      <c r="O185" s="1">
        <f t="shared" si="41"/>
        <v>9395</v>
      </c>
      <c r="P185" s="1">
        <f t="shared" si="42"/>
        <v>92004</v>
      </c>
      <c r="Q185" s="1">
        <v>103</v>
      </c>
      <c r="R185" s="1">
        <v>61</v>
      </c>
      <c r="S185" s="1">
        <v>3903</v>
      </c>
      <c r="T185" s="1">
        <v>774</v>
      </c>
      <c r="U185" s="1">
        <v>27774</v>
      </c>
      <c r="V185" s="1">
        <v>4296</v>
      </c>
      <c r="W185" s="1">
        <f t="shared" si="43"/>
        <v>164</v>
      </c>
      <c r="X185" s="1">
        <f t="shared" si="44"/>
        <v>4677</v>
      </c>
      <c r="Y185" s="1">
        <f t="shared" si="45"/>
        <v>32070</v>
      </c>
      <c r="Z185" s="1">
        <v>9.8000000000000007</v>
      </c>
      <c r="AA185" s="1">
        <v>9.32</v>
      </c>
      <c r="AB185" s="1">
        <f t="shared" si="38"/>
        <v>9.56</v>
      </c>
      <c r="AC185" s="1">
        <v>13.69</v>
      </c>
      <c r="AD185" s="1">
        <v>14</v>
      </c>
      <c r="AE185" s="1">
        <f t="shared" si="39"/>
        <v>13.844999999999999</v>
      </c>
      <c r="AF185" s="1">
        <f t="shared" si="39"/>
        <v>13.922499999999999</v>
      </c>
      <c r="AG185" s="1">
        <v>99.05</v>
      </c>
      <c r="AH185" s="1">
        <v>96.53</v>
      </c>
      <c r="AI185" s="1">
        <v>79.58</v>
      </c>
      <c r="AJ185" s="1">
        <v>33.67</v>
      </c>
      <c r="AK185" s="1">
        <v>2266</v>
      </c>
      <c r="AL185" s="1">
        <v>91</v>
      </c>
      <c r="AM185" s="1">
        <v>2357</v>
      </c>
      <c r="AN185" s="1">
        <v>28777</v>
      </c>
      <c r="AO185" s="1">
        <v>1089</v>
      </c>
      <c r="AP185" s="1">
        <v>29866</v>
      </c>
      <c r="AQ185" s="1">
        <v>284912</v>
      </c>
      <c r="AR185" s="1">
        <v>15110</v>
      </c>
      <c r="AS185" s="1">
        <v>300022</v>
      </c>
      <c r="AT185" s="4">
        <v>701</v>
      </c>
      <c r="AU185" s="4">
        <v>101</v>
      </c>
      <c r="AV185" s="4">
        <v>802</v>
      </c>
      <c r="AW185" s="4">
        <v>14002</v>
      </c>
      <c r="AX185" s="4">
        <v>872</v>
      </c>
      <c r="AY185" s="4">
        <v>14874</v>
      </c>
      <c r="AZ185" s="4">
        <v>106766</v>
      </c>
      <c r="BA185" s="4">
        <v>7526</v>
      </c>
      <c r="BB185" s="4">
        <v>114292</v>
      </c>
    </row>
    <row r="186" spans="1:54" ht="15.75" x14ac:dyDescent="0.25">
      <c r="A186" s="1" t="s">
        <v>29</v>
      </c>
      <c r="B186" s="1">
        <v>2025</v>
      </c>
      <c r="C186" s="1">
        <v>4.57</v>
      </c>
      <c r="D186" s="1">
        <v>20.329999999999998</v>
      </c>
      <c r="E186" s="1">
        <v>12.93</v>
      </c>
      <c r="F186" s="1">
        <v>23.9</v>
      </c>
      <c r="G186" s="1">
        <v>38.86</v>
      </c>
      <c r="H186" s="1">
        <v>62</v>
      </c>
      <c r="I186" s="1">
        <v>9</v>
      </c>
      <c r="J186" s="1">
        <v>1880</v>
      </c>
      <c r="K186" s="1">
        <v>123</v>
      </c>
      <c r="L186" s="1">
        <v>28976</v>
      </c>
      <c r="M186" s="1">
        <v>1249</v>
      </c>
      <c r="N186" s="1">
        <f t="shared" si="40"/>
        <v>71</v>
      </c>
      <c r="O186" s="1">
        <f t="shared" si="41"/>
        <v>2003</v>
      </c>
      <c r="P186" s="1">
        <f t="shared" si="42"/>
        <v>30225</v>
      </c>
      <c r="Q186" s="1">
        <v>40</v>
      </c>
      <c r="R186" s="1">
        <v>20</v>
      </c>
      <c r="S186" s="1">
        <v>1424</v>
      </c>
      <c r="T186" s="1">
        <v>291</v>
      </c>
      <c r="U186" s="1">
        <v>11982</v>
      </c>
      <c r="V186" s="1">
        <v>1836</v>
      </c>
      <c r="W186" s="1">
        <f t="shared" si="43"/>
        <v>60</v>
      </c>
      <c r="X186" s="1">
        <f t="shared" si="44"/>
        <v>1715</v>
      </c>
      <c r="Y186" s="1">
        <f t="shared" si="45"/>
        <v>13818</v>
      </c>
      <c r="Z186" s="1">
        <v>7.89</v>
      </c>
      <c r="AA186" s="1">
        <v>8.9</v>
      </c>
      <c r="AB186" s="1">
        <f t="shared" si="38"/>
        <v>8.3949999999999996</v>
      </c>
      <c r="AC186" s="1">
        <v>12.88</v>
      </c>
      <c r="AD186" s="1">
        <v>13.86</v>
      </c>
      <c r="AE186" s="1">
        <f t="shared" si="39"/>
        <v>13.370000000000001</v>
      </c>
      <c r="AF186" s="1">
        <f t="shared" si="39"/>
        <v>13.615</v>
      </c>
      <c r="AG186" s="1">
        <v>98.85</v>
      </c>
      <c r="AH186" s="1">
        <v>92.35</v>
      </c>
      <c r="AI186" s="1">
        <v>72</v>
      </c>
      <c r="AJ186" s="1">
        <v>35.020000000000003</v>
      </c>
      <c r="AK186" s="1">
        <v>896</v>
      </c>
      <c r="AL186" s="1">
        <v>36</v>
      </c>
      <c r="AM186" s="1">
        <v>932</v>
      </c>
      <c r="AN186" s="1">
        <v>8415</v>
      </c>
      <c r="AO186" s="1">
        <v>426</v>
      </c>
      <c r="AP186" s="1">
        <v>8841</v>
      </c>
      <c r="AQ186" s="1">
        <v>103371</v>
      </c>
      <c r="AR186" s="1">
        <v>5377</v>
      </c>
      <c r="AS186" s="1">
        <v>108748</v>
      </c>
      <c r="AT186" s="4">
        <v>314</v>
      </c>
      <c r="AU186" s="4">
        <v>33</v>
      </c>
      <c r="AV186" s="4">
        <v>347</v>
      </c>
      <c r="AW186" s="4">
        <v>4127</v>
      </c>
      <c r="AX186" s="4">
        <v>280</v>
      </c>
      <c r="AY186" s="4">
        <v>4407</v>
      </c>
      <c r="AZ186" s="4">
        <v>38839</v>
      </c>
      <c r="BA186" s="4">
        <v>2321</v>
      </c>
      <c r="BB186" s="4">
        <v>41160</v>
      </c>
    </row>
    <row r="187" spans="1:54" ht="15.75" x14ac:dyDescent="0.25">
      <c r="A187" s="1" t="s">
        <v>30</v>
      </c>
      <c r="B187" s="1">
        <v>2025</v>
      </c>
      <c r="C187" s="1">
        <v>8.0150000000000006</v>
      </c>
      <c r="D187" s="1">
        <v>10.89</v>
      </c>
      <c r="E187" s="1">
        <v>10.295</v>
      </c>
      <c r="F187" s="1">
        <v>18.97</v>
      </c>
      <c r="G187" s="1">
        <v>29.37</v>
      </c>
      <c r="H187" s="1">
        <v>80</v>
      </c>
      <c r="I187" s="1">
        <v>15</v>
      </c>
      <c r="J187" s="1">
        <v>2367</v>
      </c>
      <c r="K187" s="1">
        <v>111</v>
      </c>
      <c r="L187" s="1">
        <v>28643</v>
      </c>
      <c r="M187" s="1">
        <v>1477</v>
      </c>
      <c r="N187" s="1">
        <f t="shared" si="40"/>
        <v>95</v>
      </c>
      <c r="O187" s="1">
        <f t="shared" si="41"/>
        <v>2478</v>
      </c>
      <c r="P187" s="1">
        <f t="shared" si="42"/>
        <v>30120</v>
      </c>
      <c r="Q187" s="1">
        <v>60</v>
      </c>
      <c r="R187" s="1">
        <v>64</v>
      </c>
      <c r="S187" s="1">
        <v>1955</v>
      </c>
      <c r="T187" s="1">
        <v>608</v>
      </c>
      <c r="U187" s="1">
        <v>17095</v>
      </c>
      <c r="V187" s="1">
        <v>5274</v>
      </c>
      <c r="W187" s="1">
        <f t="shared" si="43"/>
        <v>124</v>
      </c>
      <c r="X187" s="1">
        <f t="shared" si="44"/>
        <v>2563</v>
      </c>
      <c r="Y187" s="1">
        <f t="shared" si="45"/>
        <v>22369</v>
      </c>
      <c r="Z187" s="1">
        <v>8.52</v>
      </c>
      <c r="AA187" s="1">
        <v>8.23</v>
      </c>
      <c r="AB187" s="1">
        <f t="shared" si="38"/>
        <v>8.375</v>
      </c>
      <c r="AC187" s="1">
        <v>12.79</v>
      </c>
      <c r="AD187" s="1">
        <v>13.3</v>
      </c>
      <c r="AE187" s="1">
        <f t="shared" si="39"/>
        <v>13.045</v>
      </c>
      <c r="AF187" s="1">
        <f t="shared" si="39"/>
        <v>13.172499999999999</v>
      </c>
      <c r="AG187" s="1">
        <v>98.56</v>
      </c>
      <c r="AH187" s="1">
        <v>92.3</v>
      </c>
      <c r="AI187" s="1">
        <v>73.22</v>
      </c>
      <c r="AJ187" s="1">
        <v>23.55</v>
      </c>
      <c r="AK187" s="1">
        <v>1297</v>
      </c>
      <c r="AL187" s="1">
        <v>33</v>
      </c>
      <c r="AM187" s="1">
        <v>1330</v>
      </c>
      <c r="AN187" s="1">
        <v>15059</v>
      </c>
      <c r="AO187" s="1">
        <v>389</v>
      </c>
      <c r="AP187" s="1">
        <v>15448</v>
      </c>
      <c r="AQ187" s="1">
        <v>138755</v>
      </c>
      <c r="AR187" s="1">
        <v>5314</v>
      </c>
      <c r="AS187" s="1">
        <v>144069</v>
      </c>
      <c r="AT187" s="4">
        <v>321</v>
      </c>
      <c r="AU187" s="4">
        <v>63</v>
      </c>
      <c r="AV187" s="4">
        <v>384</v>
      </c>
      <c r="AW187" s="4">
        <v>5392</v>
      </c>
      <c r="AX187" s="4">
        <v>545</v>
      </c>
      <c r="AY187" s="4">
        <v>5937</v>
      </c>
      <c r="AZ187" s="4">
        <v>47054</v>
      </c>
      <c r="BA187" s="4">
        <v>4715</v>
      </c>
      <c r="BB187" s="4">
        <v>51769</v>
      </c>
    </row>
    <row r="188" spans="1:54" ht="15.75" x14ac:dyDescent="0.25">
      <c r="A188" s="1" t="s">
        <v>31</v>
      </c>
      <c r="B188" s="1">
        <v>2025</v>
      </c>
      <c r="C188" s="1">
        <v>4.58</v>
      </c>
      <c r="D188" s="1">
        <v>24.310000000000002</v>
      </c>
      <c r="E188" s="1">
        <v>15.315000000000001</v>
      </c>
      <c r="F188" s="1">
        <v>28.49</v>
      </c>
      <c r="G188" s="1">
        <v>33.94</v>
      </c>
      <c r="H188" s="1">
        <v>218</v>
      </c>
      <c r="I188" s="1">
        <v>77</v>
      </c>
      <c r="J188" s="1">
        <v>5549</v>
      </c>
      <c r="K188" s="1">
        <v>1101</v>
      </c>
      <c r="L188" s="1">
        <v>57733</v>
      </c>
      <c r="M188" s="1">
        <v>10770</v>
      </c>
      <c r="N188" s="1">
        <f t="shared" si="40"/>
        <v>295</v>
      </c>
      <c r="O188" s="1">
        <f t="shared" si="41"/>
        <v>6650</v>
      </c>
      <c r="P188" s="1">
        <f t="shared" si="42"/>
        <v>68503</v>
      </c>
      <c r="Q188" s="1">
        <v>84</v>
      </c>
      <c r="R188" s="1">
        <v>39</v>
      </c>
      <c r="S188" s="1">
        <v>2252</v>
      </c>
      <c r="T188" s="1">
        <v>533</v>
      </c>
      <c r="U188" s="1">
        <v>14809</v>
      </c>
      <c r="V188" s="1">
        <v>5582</v>
      </c>
      <c r="W188" s="1">
        <f t="shared" si="43"/>
        <v>123</v>
      </c>
      <c r="X188" s="1">
        <f t="shared" si="44"/>
        <v>2785</v>
      </c>
      <c r="Y188" s="1">
        <f t="shared" si="45"/>
        <v>20391</v>
      </c>
      <c r="Z188" s="1">
        <v>10.54</v>
      </c>
      <c r="AA188" s="1">
        <v>10.48</v>
      </c>
      <c r="AB188" s="1">
        <f t="shared" si="38"/>
        <v>10.51</v>
      </c>
      <c r="AC188" s="1">
        <v>13.93</v>
      </c>
      <c r="AD188" s="1">
        <v>14.46</v>
      </c>
      <c r="AE188" s="1">
        <f t="shared" si="39"/>
        <v>14.195</v>
      </c>
      <c r="AF188" s="1">
        <f t="shared" si="39"/>
        <v>14.327500000000001</v>
      </c>
      <c r="AG188" s="1">
        <v>99.56</v>
      </c>
      <c r="AH188" s="1">
        <v>97.75</v>
      </c>
      <c r="AI188" s="1">
        <v>77.28</v>
      </c>
      <c r="AJ188" s="1">
        <v>29.66</v>
      </c>
      <c r="AK188" s="1">
        <v>1311</v>
      </c>
      <c r="AL188" s="1">
        <v>533</v>
      </c>
      <c r="AM188" s="1">
        <v>1844</v>
      </c>
      <c r="AN188" s="1">
        <v>15402</v>
      </c>
      <c r="AO188" s="1">
        <v>3568</v>
      </c>
      <c r="AP188" s="1">
        <v>18970</v>
      </c>
      <c r="AQ188" s="1">
        <v>148432</v>
      </c>
      <c r="AR188" s="1">
        <v>53782</v>
      </c>
      <c r="AS188" s="1">
        <v>202214</v>
      </c>
      <c r="AT188" s="4">
        <v>576</v>
      </c>
      <c r="AU188" s="4">
        <v>142</v>
      </c>
      <c r="AV188" s="4">
        <v>718</v>
      </c>
      <c r="AW188" s="4">
        <v>10083</v>
      </c>
      <c r="AX188" s="4">
        <v>1266</v>
      </c>
      <c r="AY188" s="4">
        <v>11349</v>
      </c>
      <c r="AZ188" s="4">
        <v>74135</v>
      </c>
      <c r="BA188" s="4">
        <v>15141</v>
      </c>
      <c r="BB188" s="4">
        <v>89276</v>
      </c>
    </row>
    <row r="189" spans="1:54" ht="15.75" x14ac:dyDescent="0.25">
      <c r="A189" s="1" t="s">
        <v>32</v>
      </c>
      <c r="B189" s="1">
        <v>2025</v>
      </c>
      <c r="C189" s="1">
        <v>5.83</v>
      </c>
      <c r="D189" s="1">
        <v>5.65</v>
      </c>
      <c r="E189" s="1">
        <v>5.6999999999999993</v>
      </c>
      <c r="F189" s="1">
        <v>25.65</v>
      </c>
      <c r="G189" s="1">
        <v>35.49</v>
      </c>
      <c r="H189" s="1">
        <v>140</v>
      </c>
      <c r="I189" s="1">
        <v>79</v>
      </c>
      <c r="J189" s="1">
        <v>3276</v>
      </c>
      <c r="K189" s="1">
        <v>664</v>
      </c>
      <c r="L189" s="1">
        <v>35467</v>
      </c>
      <c r="M189" s="1">
        <v>7993</v>
      </c>
      <c r="N189" s="1">
        <f t="shared" si="40"/>
        <v>219</v>
      </c>
      <c r="O189" s="1">
        <f t="shared" si="41"/>
        <v>3940</v>
      </c>
      <c r="P189" s="1">
        <f t="shared" si="42"/>
        <v>43460</v>
      </c>
      <c r="Q189" s="1">
        <v>63</v>
      </c>
      <c r="R189" s="1">
        <v>86</v>
      </c>
      <c r="S189" s="1">
        <v>1317</v>
      </c>
      <c r="T189" s="1">
        <v>696</v>
      </c>
      <c r="U189" s="1">
        <v>9018</v>
      </c>
      <c r="V189" s="1">
        <v>8089</v>
      </c>
      <c r="W189" s="1">
        <f t="shared" si="43"/>
        <v>149</v>
      </c>
      <c r="X189" s="1">
        <f t="shared" si="44"/>
        <v>2013</v>
      </c>
      <c r="Y189" s="1">
        <f t="shared" si="45"/>
        <v>17107</v>
      </c>
      <c r="Z189" s="1">
        <v>9.69</v>
      </c>
      <c r="AA189" s="1">
        <v>9.3000000000000007</v>
      </c>
      <c r="AB189" s="1">
        <f t="shared" si="38"/>
        <v>9.495000000000001</v>
      </c>
      <c r="AC189" s="1">
        <v>13.81</v>
      </c>
      <c r="AD189" s="1">
        <v>13.76</v>
      </c>
      <c r="AE189" s="1">
        <f t="shared" si="39"/>
        <v>13.785</v>
      </c>
      <c r="AF189" s="1">
        <f t="shared" si="39"/>
        <v>13.772500000000001</v>
      </c>
      <c r="AG189" s="1">
        <v>99.04</v>
      </c>
      <c r="AH189" s="1">
        <v>97.08</v>
      </c>
      <c r="AI189" s="1">
        <v>79.62</v>
      </c>
      <c r="AJ189" s="1">
        <v>25.38</v>
      </c>
      <c r="AK189" s="1">
        <v>1133</v>
      </c>
      <c r="AL189" s="1">
        <v>199</v>
      </c>
      <c r="AM189" s="1">
        <v>1332</v>
      </c>
      <c r="AN189" s="1">
        <v>12447</v>
      </c>
      <c r="AO189" s="1">
        <v>1323</v>
      </c>
      <c r="AP189" s="1">
        <v>13770</v>
      </c>
      <c r="AQ189" s="1">
        <v>116699</v>
      </c>
      <c r="AR189" s="1">
        <v>21799</v>
      </c>
      <c r="AS189" s="1">
        <v>138498</v>
      </c>
      <c r="AT189" s="4">
        <v>384</v>
      </c>
      <c r="AU189" s="4">
        <v>146</v>
      </c>
      <c r="AV189" s="4">
        <v>530</v>
      </c>
      <c r="AW189" s="4">
        <v>6167</v>
      </c>
      <c r="AX189" s="4">
        <v>985</v>
      </c>
      <c r="AY189" s="4">
        <v>7152</v>
      </c>
      <c r="AZ189" s="4">
        <v>45911</v>
      </c>
      <c r="BA189" s="4">
        <v>12132</v>
      </c>
      <c r="BB189" s="4">
        <v>58043</v>
      </c>
    </row>
    <row r="190" spans="1:54" ht="15.75" x14ac:dyDescent="0.25">
      <c r="A190" s="1" t="s">
        <v>33</v>
      </c>
      <c r="B190" s="1">
        <v>2025</v>
      </c>
      <c r="C190" s="1">
        <v>9.41</v>
      </c>
      <c r="D190" s="1">
        <v>25.1</v>
      </c>
      <c r="E190" s="1">
        <v>20.119999999999997</v>
      </c>
      <c r="F190" s="1">
        <v>24.64</v>
      </c>
      <c r="G190" s="1">
        <v>36.81</v>
      </c>
      <c r="H190" s="1">
        <v>48</v>
      </c>
      <c r="I190" s="1">
        <v>23</v>
      </c>
      <c r="J190" s="1">
        <v>1078</v>
      </c>
      <c r="K190" s="1">
        <v>332</v>
      </c>
      <c r="L190" s="1">
        <v>14504</v>
      </c>
      <c r="M190" s="1">
        <v>3513</v>
      </c>
      <c r="N190" s="1">
        <f t="shared" si="40"/>
        <v>71</v>
      </c>
      <c r="O190" s="1">
        <f t="shared" si="41"/>
        <v>1410</v>
      </c>
      <c r="P190" s="1">
        <f t="shared" si="42"/>
        <v>18017</v>
      </c>
      <c r="Q190" s="1">
        <v>16</v>
      </c>
      <c r="R190" s="1">
        <v>5</v>
      </c>
      <c r="S190" s="1">
        <v>545</v>
      </c>
      <c r="T190" s="1">
        <v>99</v>
      </c>
      <c r="U190" s="1">
        <v>5144</v>
      </c>
      <c r="V190" s="1">
        <v>1339</v>
      </c>
      <c r="W190" s="1">
        <f t="shared" si="43"/>
        <v>21</v>
      </c>
      <c r="X190" s="1">
        <f t="shared" si="44"/>
        <v>644</v>
      </c>
      <c r="Y190" s="1">
        <f t="shared" si="45"/>
        <v>6483</v>
      </c>
      <c r="Z190" s="1">
        <v>10.28</v>
      </c>
      <c r="AA190" s="1">
        <v>7.73</v>
      </c>
      <c r="AB190" s="1">
        <f t="shared" si="38"/>
        <v>9.004999999999999</v>
      </c>
      <c r="AC190" s="1">
        <v>13.21</v>
      </c>
      <c r="AD190" s="1">
        <v>13.2</v>
      </c>
      <c r="AE190" s="1">
        <f t="shared" si="39"/>
        <v>13.205</v>
      </c>
      <c r="AF190" s="1">
        <f t="shared" si="39"/>
        <v>13.202500000000001</v>
      </c>
      <c r="AG190" s="1">
        <v>97.59</v>
      </c>
      <c r="AH190" s="1">
        <v>96.22</v>
      </c>
      <c r="AI190" s="1">
        <v>77.53</v>
      </c>
      <c r="AJ190" s="1">
        <v>34.53</v>
      </c>
      <c r="AK190" s="1">
        <v>407</v>
      </c>
      <c r="AL190" s="1">
        <v>177</v>
      </c>
      <c r="AM190" s="1">
        <v>584</v>
      </c>
      <c r="AN190" s="1">
        <v>4322</v>
      </c>
      <c r="AO190" s="1">
        <v>1500</v>
      </c>
      <c r="AP190" s="1">
        <v>5822</v>
      </c>
      <c r="AQ190" s="1">
        <v>46967</v>
      </c>
      <c r="AR190" s="1">
        <v>23216</v>
      </c>
      <c r="AS190" s="1">
        <v>70183</v>
      </c>
      <c r="AT190" s="4">
        <v>126</v>
      </c>
      <c r="AU190" s="4">
        <v>41</v>
      </c>
      <c r="AV190" s="4">
        <v>167</v>
      </c>
      <c r="AW190" s="4">
        <v>1975</v>
      </c>
      <c r="AX190" s="4">
        <v>512</v>
      </c>
      <c r="AY190" s="4">
        <v>2487</v>
      </c>
      <c r="AZ190" s="4">
        <v>22425</v>
      </c>
      <c r="BA190" s="4">
        <v>6770</v>
      </c>
      <c r="BB190" s="4">
        <v>29195</v>
      </c>
    </row>
    <row r="191" spans="1:54" ht="15.75" x14ac:dyDescent="0.25">
      <c r="A191" s="1" t="s">
        <v>34</v>
      </c>
      <c r="B191" s="1">
        <v>2025</v>
      </c>
      <c r="C191" s="1">
        <v>8.125</v>
      </c>
      <c r="D191" s="1">
        <v>30.240000000000002</v>
      </c>
      <c r="E191" s="1">
        <v>17.725000000000001</v>
      </c>
      <c r="F191" s="1">
        <v>24.97</v>
      </c>
      <c r="G191" s="1">
        <v>44.34</v>
      </c>
      <c r="H191" s="1">
        <v>50</v>
      </c>
      <c r="I191" s="1">
        <v>32</v>
      </c>
      <c r="J191" s="1">
        <v>1131</v>
      </c>
      <c r="K191" s="1">
        <v>370</v>
      </c>
      <c r="L191" s="1">
        <v>11559</v>
      </c>
      <c r="M191" s="1">
        <v>3386</v>
      </c>
      <c r="N191" s="1">
        <f t="shared" si="40"/>
        <v>82</v>
      </c>
      <c r="O191" s="1">
        <f t="shared" si="41"/>
        <v>1501</v>
      </c>
      <c r="P191" s="1">
        <f t="shared" si="42"/>
        <v>14945</v>
      </c>
      <c r="Q191" s="1">
        <v>16</v>
      </c>
      <c r="R191" s="1">
        <v>22</v>
      </c>
      <c r="S191" s="1">
        <v>564</v>
      </c>
      <c r="T191" s="1">
        <v>267</v>
      </c>
      <c r="U191" s="1">
        <v>5624</v>
      </c>
      <c r="V191" s="1">
        <v>3220</v>
      </c>
      <c r="W191" s="1">
        <f t="shared" si="43"/>
        <v>38</v>
      </c>
      <c r="X191" s="1">
        <f t="shared" si="44"/>
        <v>831</v>
      </c>
      <c r="Y191" s="1">
        <f t="shared" si="45"/>
        <v>8844</v>
      </c>
      <c r="Z191" s="1">
        <v>10.87</v>
      </c>
      <c r="AA191" s="1">
        <v>8.67</v>
      </c>
      <c r="AB191" s="1">
        <f t="shared" si="38"/>
        <v>9.77</v>
      </c>
      <c r="AC191" s="1">
        <v>13.73</v>
      </c>
      <c r="AD191" s="1">
        <v>14.03</v>
      </c>
      <c r="AE191" s="1">
        <f t="shared" si="39"/>
        <v>13.879999999999999</v>
      </c>
      <c r="AF191" s="1">
        <f t="shared" si="39"/>
        <v>13.954999999999998</v>
      </c>
      <c r="AG191" s="1">
        <v>98.67</v>
      </c>
      <c r="AH191" s="1">
        <v>96.38</v>
      </c>
      <c r="AI191" s="1">
        <v>81.7</v>
      </c>
      <c r="AJ191" s="1">
        <v>35.19</v>
      </c>
      <c r="AK191" s="1">
        <v>313</v>
      </c>
      <c r="AL191" s="1">
        <v>251</v>
      </c>
      <c r="AM191" s="1">
        <v>564</v>
      </c>
      <c r="AN191" s="1">
        <v>3823</v>
      </c>
      <c r="AO191" s="1">
        <v>1665</v>
      </c>
      <c r="AP191" s="1">
        <v>5488</v>
      </c>
      <c r="AQ191" s="1">
        <v>37066</v>
      </c>
      <c r="AR191" s="1">
        <v>24331</v>
      </c>
      <c r="AS191" s="1">
        <v>61397</v>
      </c>
      <c r="AT191" s="4">
        <v>132</v>
      </c>
      <c r="AU191" s="4">
        <v>63</v>
      </c>
      <c r="AV191" s="4">
        <v>195</v>
      </c>
      <c r="AW191" s="4">
        <v>2030</v>
      </c>
      <c r="AX191" s="4">
        <v>537</v>
      </c>
      <c r="AY191" s="4">
        <v>2567</v>
      </c>
      <c r="AZ191" s="4">
        <v>19161</v>
      </c>
      <c r="BA191" s="4">
        <v>6592</v>
      </c>
      <c r="BB191" s="4">
        <v>25753</v>
      </c>
    </row>
    <row r="192" spans="1:54" ht="15.75" x14ac:dyDescent="0.25">
      <c r="A192" s="1" t="s">
        <v>35</v>
      </c>
      <c r="B192" s="1">
        <v>2025</v>
      </c>
      <c r="C192" s="1">
        <v>6.2149999999999999</v>
      </c>
      <c r="D192" s="1">
        <v>38.234999999999999</v>
      </c>
      <c r="E192" s="1">
        <v>18.490000000000002</v>
      </c>
      <c r="F192" s="1">
        <v>26.34</v>
      </c>
      <c r="G192" s="1">
        <v>47.12</v>
      </c>
      <c r="H192" s="1">
        <v>65</v>
      </c>
      <c r="I192" s="1">
        <v>54</v>
      </c>
      <c r="J192" s="1">
        <v>1612</v>
      </c>
      <c r="K192" s="1">
        <v>770</v>
      </c>
      <c r="L192" s="1">
        <v>24337</v>
      </c>
      <c r="M192" s="1">
        <v>11285</v>
      </c>
      <c r="N192" s="1">
        <f t="shared" si="40"/>
        <v>119</v>
      </c>
      <c r="O192" s="1">
        <f t="shared" si="41"/>
        <v>2382</v>
      </c>
      <c r="P192" s="1">
        <f t="shared" si="42"/>
        <v>35622</v>
      </c>
      <c r="Q192" s="1">
        <v>35</v>
      </c>
      <c r="R192" s="1">
        <v>14</v>
      </c>
      <c r="S192" s="1">
        <v>980</v>
      </c>
      <c r="T192" s="1">
        <v>296</v>
      </c>
      <c r="U192" s="1">
        <v>9511</v>
      </c>
      <c r="V192" s="1">
        <v>4042</v>
      </c>
      <c r="W192" s="1">
        <f t="shared" si="43"/>
        <v>49</v>
      </c>
      <c r="X192" s="1">
        <f t="shared" si="44"/>
        <v>1276</v>
      </c>
      <c r="Y192" s="1">
        <f t="shared" si="45"/>
        <v>13553</v>
      </c>
      <c r="Z192" s="1">
        <v>10.4</v>
      </c>
      <c r="AA192" s="1">
        <v>9.91</v>
      </c>
      <c r="AB192" s="1">
        <f t="shared" si="38"/>
        <v>10.155000000000001</v>
      </c>
      <c r="AC192" s="1">
        <v>6.83</v>
      </c>
      <c r="AD192" s="1">
        <v>7.0650000000000004</v>
      </c>
      <c r="AE192" s="1">
        <f t="shared" si="39"/>
        <v>6.9474999999999998</v>
      </c>
      <c r="AF192" s="1">
        <f t="shared" si="39"/>
        <v>7.0062499999999996</v>
      </c>
      <c r="AG192" s="1">
        <v>97.51</v>
      </c>
      <c r="AH192" s="1">
        <v>97.32</v>
      </c>
      <c r="AI192" s="1">
        <v>81.78</v>
      </c>
      <c r="AJ192" s="1">
        <v>38.159999999999997</v>
      </c>
      <c r="AK192" s="1">
        <v>500</v>
      </c>
      <c r="AL192" s="1">
        <v>353</v>
      </c>
      <c r="AM192" s="1">
        <v>853</v>
      </c>
      <c r="AN192" s="1">
        <v>5051</v>
      </c>
      <c r="AO192" s="1">
        <v>2825</v>
      </c>
      <c r="AP192" s="1">
        <v>7876</v>
      </c>
      <c r="AQ192" s="1">
        <v>68799</v>
      </c>
      <c r="AR192" s="1">
        <v>48911</v>
      </c>
      <c r="AS192" s="1">
        <v>117710</v>
      </c>
      <c r="AT192" s="4">
        <v>195</v>
      </c>
      <c r="AU192" s="4">
        <v>88</v>
      </c>
      <c r="AV192" s="4">
        <v>283</v>
      </c>
      <c r="AW192" s="4">
        <v>3096</v>
      </c>
      <c r="AX192" s="4">
        <v>866</v>
      </c>
      <c r="AY192" s="4">
        <v>3962</v>
      </c>
      <c r="AZ192" s="4">
        <v>39328</v>
      </c>
      <c r="BA192" s="4">
        <v>12537</v>
      </c>
      <c r="BB192" s="4">
        <v>51865</v>
      </c>
    </row>
    <row r="193" spans="1:54" ht="15.75" x14ac:dyDescent="0.25">
      <c r="A193" s="1" t="s">
        <v>36</v>
      </c>
      <c r="B193" s="1">
        <v>2025</v>
      </c>
      <c r="C193" s="1">
        <v>4.5250000000000004</v>
      </c>
      <c r="D193" s="1">
        <v>28.324999999999999</v>
      </c>
      <c r="E193" s="1">
        <v>19.484999999999999</v>
      </c>
      <c r="F193" s="1">
        <v>21.95</v>
      </c>
      <c r="G193" s="1">
        <v>34.119999999999997</v>
      </c>
      <c r="H193" s="1">
        <v>25</v>
      </c>
      <c r="I193" s="1">
        <v>15</v>
      </c>
      <c r="J193" s="1">
        <v>714</v>
      </c>
      <c r="K193" s="1">
        <v>218</v>
      </c>
      <c r="L193" s="1">
        <v>10885</v>
      </c>
      <c r="M193" s="1">
        <v>3547</v>
      </c>
      <c r="N193" s="1">
        <f t="shared" si="40"/>
        <v>40</v>
      </c>
      <c r="O193" s="1">
        <f t="shared" si="41"/>
        <v>932</v>
      </c>
      <c r="P193" s="1">
        <f t="shared" si="42"/>
        <v>14432</v>
      </c>
      <c r="Q193" s="1">
        <v>21</v>
      </c>
      <c r="R193" s="1">
        <v>4</v>
      </c>
      <c r="S193" s="1">
        <v>619</v>
      </c>
      <c r="T193" s="1">
        <v>65</v>
      </c>
      <c r="U193" s="1">
        <v>6603</v>
      </c>
      <c r="V193" s="1">
        <v>794</v>
      </c>
      <c r="W193" s="1">
        <f t="shared" si="43"/>
        <v>25</v>
      </c>
      <c r="X193" s="1">
        <f t="shared" si="44"/>
        <v>684</v>
      </c>
      <c r="Y193" s="1">
        <f t="shared" si="45"/>
        <v>7397</v>
      </c>
      <c r="Z193" s="1">
        <v>9.06</v>
      </c>
      <c r="AA193" s="1">
        <v>8.23</v>
      </c>
      <c r="AB193" s="1">
        <f t="shared" si="38"/>
        <v>8.6449999999999996</v>
      </c>
      <c r="AC193" s="1">
        <v>6.83</v>
      </c>
      <c r="AD193" s="1">
        <v>7.0650000000000004</v>
      </c>
      <c r="AE193" s="1">
        <f t="shared" si="39"/>
        <v>6.9474999999999998</v>
      </c>
      <c r="AF193" s="1">
        <f t="shared" si="39"/>
        <v>7.0062499999999996</v>
      </c>
      <c r="AG193" s="1">
        <v>91.65</v>
      </c>
      <c r="AH193" s="1">
        <v>89.29</v>
      </c>
      <c r="AI193" s="1">
        <v>66.97</v>
      </c>
      <c r="AJ193" s="1">
        <v>27.57</v>
      </c>
      <c r="AK193" s="1">
        <v>381</v>
      </c>
      <c r="AL193" s="1">
        <v>235</v>
      </c>
      <c r="AM193" s="1">
        <v>616</v>
      </c>
      <c r="AN193" s="1">
        <v>3139</v>
      </c>
      <c r="AO193" s="1">
        <v>1637</v>
      </c>
      <c r="AP193" s="1">
        <v>4776</v>
      </c>
      <c r="AQ193" s="1">
        <v>57928</v>
      </c>
      <c r="AR193" s="1">
        <v>38080</v>
      </c>
      <c r="AS193" s="1">
        <v>96008</v>
      </c>
      <c r="AT193" s="4">
        <v>99</v>
      </c>
      <c r="AU193" s="4">
        <v>38</v>
      </c>
      <c r="AV193" s="4">
        <v>137</v>
      </c>
      <c r="AW193" s="4">
        <v>1652</v>
      </c>
      <c r="AX193" s="4">
        <v>429</v>
      </c>
      <c r="AY193" s="4">
        <v>2081</v>
      </c>
      <c r="AZ193" s="4">
        <v>22093</v>
      </c>
      <c r="BA193" s="4">
        <v>7200</v>
      </c>
      <c r="BB193" s="4">
        <v>29293</v>
      </c>
    </row>
    <row r="194" spans="1:54" ht="15.75" x14ac:dyDescent="0.25">
      <c r="A194" s="1" t="s">
        <v>37</v>
      </c>
      <c r="B194" s="1">
        <v>2025</v>
      </c>
      <c r="C194" s="1">
        <v>6.0250000000000004</v>
      </c>
      <c r="D194" s="1">
        <v>37.840000000000003</v>
      </c>
      <c r="E194" s="1">
        <v>29.174999999999997</v>
      </c>
      <c r="F194" s="1">
        <v>21.18</v>
      </c>
      <c r="G194" s="1">
        <v>15.28</v>
      </c>
      <c r="H194" s="1">
        <v>31</v>
      </c>
      <c r="I194" s="1">
        <v>29</v>
      </c>
      <c r="J194" s="1">
        <v>792</v>
      </c>
      <c r="K194" s="1">
        <v>370</v>
      </c>
      <c r="L194" s="1">
        <v>12956</v>
      </c>
      <c r="M194" s="1">
        <v>5621</v>
      </c>
      <c r="N194" s="1">
        <f t="shared" si="40"/>
        <v>60</v>
      </c>
      <c r="O194" s="1">
        <f t="shared" si="41"/>
        <v>1162</v>
      </c>
      <c r="P194" s="1">
        <f t="shared" si="42"/>
        <v>18577</v>
      </c>
      <c r="Q194" s="1">
        <v>17</v>
      </c>
      <c r="R194" s="1">
        <v>37</v>
      </c>
      <c r="S194" s="1">
        <v>530</v>
      </c>
      <c r="T194" s="1">
        <v>472</v>
      </c>
      <c r="U194" s="1">
        <v>5759</v>
      </c>
      <c r="V194" s="1">
        <v>6053</v>
      </c>
      <c r="W194" s="1">
        <f t="shared" si="43"/>
        <v>54</v>
      </c>
      <c r="X194" s="1">
        <f t="shared" si="44"/>
        <v>1002</v>
      </c>
      <c r="Y194" s="1">
        <f t="shared" si="45"/>
        <v>11812</v>
      </c>
      <c r="Z194" s="1">
        <v>6.71</v>
      </c>
      <c r="AA194" s="1">
        <v>5.64</v>
      </c>
      <c r="AB194" s="1">
        <f t="shared" si="38"/>
        <v>6.1749999999999998</v>
      </c>
      <c r="AC194" s="1">
        <v>6.83</v>
      </c>
      <c r="AD194" s="1">
        <v>7.0650000000000004</v>
      </c>
      <c r="AE194" s="1">
        <f t="shared" si="39"/>
        <v>6.9474999999999998</v>
      </c>
      <c r="AF194" s="1">
        <f t="shared" si="39"/>
        <v>7.0062499999999996</v>
      </c>
      <c r="AG194" s="1">
        <v>80.13</v>
      </c>
      <c r="AH194" s="1">
        <v>67.86</v>
      </c>
      <c r="AI194" s="1">
        <v>44.61</v>
      </c>
      <c r="AJ194" s="1">
        <v>15.48</v>
      </c>
      <c r="AK194" s="1">
        <v>292</v>
      </c>
      <c r="AL194" s="1">
        <v>268</v>
      </c>
      <c r="AM194" s="1">
        <v>560</v>
      </c>
      <c r="AN194" s="1">
        <v>3370</v>
      </c>
      <c r="AO194" s="1">
        <v>2332</v>
      </c>
      <c r="AP194" s="1">
        <v>5702</v>
      </c>
      <c r="AQ194" s="1">
        <v>72584</v>
      </c>
      <c r="AR194" s="1">
        <v>73386</v>
      </c>
      <c r="AS194" s="1">
        <v>145970</v>
      </c>
      <c r="AT194" s="4">
        <v>102</v>
      </c>
      <c r="AU194" s="4">
        <v>71</v>
      </c>
      <c r="AV194" s="4">
        <v>173</v>
      </c>
      <c r="AW194" s="4">
        <v>1783</v>
      </c>
      <c r="AX194" s="4">
        <v>755</v>
      </c>
      <c r="AY194" s="4">
        <v>2538</v>
      </c>
      <c r="AZ194" s="4">
        <v>28168</v>
      </c>
      <c r="BA194" s="4">
        <v>14145</v>
      </c>
      <c r="BB194" s="4">
        <v>42313</v>
      </c>
    </row>
    <row r="195" spans="1:54" ht="15.75" x14ac:dyDescent="0.25">
      <c r="A195" s="1" t="s">
        <v>38</v>
      </c>
      <c r="B195" s="1">
        <v>2025</v>
      </c>
      <c r="C195" s="1">
        <v>13.030000000000001</v>
      </c>
      <c r="D195" s="1">
        <v>30.805</v>
      </c>
      <c r="E195" s="1">
        <v>28.62</v>
      </c>
      <c r="F195" s="1">
        <v>11.62</v>
      </c>
      <c r="G195" s="1">
        <v>4.7</v>
      </c>
      <c r="H195" s="1">
        <v>50</v>
      </c>
      <c r="I195" s="1">
        <v>22</v>
      </c>
      <c r="J195" s="1">
        <v>658</v>
      </c>
      <c r="K195" s="1">
        <v>249</v>
      </c>
      <c r="L195" s="1">
        <v>11305</v>
      </c>
      <c r="M195" s="1">
        <v>4328</v>
      </c>
      <c r="N195" s="1">
        <f t="shared" si="40"/>
        <v>72</v>
      </c>
      <c r="O195" s="1">
        <f t="shared" si="41"/>
        <v>907</v>
      </c>
      <c r="P195" s="1">
        <f t="shared" si="42"/>
        <v>15633</v>
      </c>
      <c r="Q195" s="1">
        <v>12</v>
      </c>
      <c r="R195" s="1">
        <v>13</v>
      </c>
      <c r="S195" s="1">
        <v>148</v>
      </c>
      <c r="T195" s="1">
        <v>129</v>
      </c>
      <c r="U195" s="1">
        <v>2194</v>
      </c>
      <c r="V195" s="1">
        <v>2621</v>
      </c>
      <c r="W195" s="1">
        <f t="shared" si="43"/>
        <v>25</v>
      </c>
      <c r="X195" s="1">
        <f t="shared" si="44"/>
        <v>277</v>
      </c>
      <c r="Y195" s="1">
        <f t="shared" si="45"/>
        <v>4815</v>
      </c>
      <c r="Z195" s="1">
        <v>5.36</v>
      </c>
      <c r="AA195" s="1">
        <v>3.6</v>
      </c>
      <c r="AB195" s="1">
        <f t="shared" si="38"/>
        <v>4.4800000000000004</v>
      </c>
      <c r="AC195" s="1">
        <v>6.83</v>
      </c>
      <c r="AD195" s="1">
        <v>7.0650000000000004</v>
      </c>
      <c r="AE195" s="1">
        <f t="shared" si="39"/>
        <v>6.9474999999999998</v>
      </c>
      <c r="AF195" s="1">
        <f t="shared" si="39"/>
        <v>7.0062499999999996</v>
      </c>
      <c r="AG195" s="1">
        <v>82.24</v>
      </c>
      <c r="AH195" s="1">
        <v>71.08</v>
      </c>
      <c r="AI195" s="1">
        <v>50.79</v>
      </c>
      <c r="AJ195" s="1">
        <v>12.48</v>
      </c>
      <c r="AK195" s="1">
        <v>516</v>
      </c>
      <c r="AL195" s="1">
        <v>163</v>
      </c>
      <c r="AM195" s="1">
        <v>679</v>
      </c>
      <c r="AN195" s="1">
        <v>3604</v>
      </c>
      <c r="AO195" s="1">
        <v>1095</v>
      </c>
      <c r="AP195" s="1">
        <v>4699</v>
      </c>
      <c r="AQ195" s="1">
        <v>109588</v>
      </c>
      <c r="AR195" s="1">
        <v>34402</v>
      </c>
      <c r="AS195" s="1">
        <v>143990</v>
      </c>
      <c r="AT195" s="4">
        <v>160</v>
      </c>
      <c r="AU195" s="4">
        <v>55</v>
      </c>
      <c r="AV195" s="4">
        <v>215</v>
      </c>
      <c r="AW195" s="4">
        <v>1698</v>
      </c>
      <c r="AX195" s="4">
        <v>383</v>
      </c>
      <c r="AY195" s="4">
        <v>2081</v>
      </c>
      <c r="AZ195" s="4">
        <v>34149</v>
      </c>
      <c r="BA195" s="4">
        <v>9763</v>
      </c>
      <c r="BB195" s="4">
        <v>43912</v>
      </c>
    </row>
    <row r="196" spans="1:54" ht="15.75" x14ac:dyDescent="0.25">
      <c r="A196" s="1" t="s">
        <v>39</v>
      </c>
      <c r="B196" s="1">
        <v>2025</v>
      </c>
      <c r="C196" s="1">
        <v>6.665</v>
      </c>
      <c r="D196" s="1">
        <v>10.875</v>
      </c>
      <c r="E196" s="1">
        <v>8.36</v>
      </c>
      <c r="F196" s="1">
        <v>19.440000000000001</v>
      </c>
      <c r="G196" s="1">
        <v>42.2</v>
      </c>
      <c r="H196" s="1">
        <v>7191</v>
      </c>
      <c r="I196" s="1">
        <v>7619</v>
      </c>
      <c r="J196" s="1">
        <v>259541</v>
      </c>
      <c r="K196" s="1">
        <v>102709</v>
      </c>
      <c r="L196" s="1">
        <v>4036760</v>
      </c>
      <c r="M196" s="1">
        <v>1400591</v>
      </c>
      <c r="N196" s="1">
        <f t="shared" si="40"/>
        <v>14810</v>
      </c>
      <c r="O196" s="1">
        <f t="shared" si="41"/>
        <v>362250</v>
      </c>
      <c r="P196" s="1">
        <f t="shared" si="42"/>
        <v>5437351</v>
      </c>
      <c r="Q196" s="1">
        <v>3788</v>
      </c>
      <c r="R196" s="1">
        <v>10397</v>
      </c>
      <c r="S196" s="1">
        <v>174971</v>
      </c>
      <c r="T196" s="1">
        <v>168162</v>
      </c>
      <c r="U196" s="1">
        <v>2473320</v>
      </c>
      <c r="V196" s="1">
        <v>2605905</v>
      </c>
      <c r="W196" s="1">
        <f t="shared" si="43"/>
        <v>14185</v>
      </c>
      <c r="X196" s="1">
        <f t="shared" si="44"/>
        <v>343133</v>
      </c>
      <c r="Y196" s="1">
        <f t="shared" si="45"/>
        <v>5079225</v>
      </c>
      <c r="Z196" s="1">
        <v>9.35</v>
      </c>
      <c r="AA196" s="1">
        <v>8.7899999999999991</v>
      </c>
      <c r="AB196" s="1">
        <f t="shared" si="38"/>
        <v>9.07</v>
      </c>
      <c r="AC196" s="1">
        <v>13.16</v>
      </c>
      <c r="AD196" s="1">
        <v>13.46</v>
      </c>
      <c r="AE196" s="1">
        <f t="shared" si="39"/>
        <v>13.31</v>
      </c>
      <c r="AF196" s="1">
        <f t="shared" si="39"/>
        <v>13.385000000000002</v>
      </c>
      <c r="AG196" s="1">
        <v>99.23</v>
      </c>
      <c r="AH196" s="1">
        <v>96.3</v>
      </c>
      <c r="AI196" s="1">
        <v>77.86</v>
      </c>
      <c r="AJ196" s="1">
        <v>29.13</v>
      </c>
      <c r="AK196" s="1">
        <v>128933</v>
      </c>
      <c r="AL196" s="1">
        <v>20095</v>
      </c>
      <c r="AM196" s="1">
        <v>149028</v>
      </c>
      <c r="AN196" s="1">
        <v>1386860</v>
      </c>
      <c r="AO196" s="1">
        <v>256811</v>
      </c>
      <c r="AP196" s="1">
        <v>1643671</v>
      </c>
      <c r="AQ196" s="1">
        <v>20050679</v>
      </c>
      <c r="AR196" s="1">
        <v>3933386</v>
      </c>
      <c r="AS196" s="1">
        <v>23984065</v>
      </c>
      <c r="AT196" s="4">
        <v>24217</v>
      </c>
      <c r="AU196" s="4">
        <v>19376</v>
      </c>
      <c r="AV196" s="4">
        <v>43593</v>
      </c>
      <c r="AW196" s="4">
        <v>520194</v>
      </c>
      <c r="AX196" s="4">
        <v>203602</v>
      </c>
      <c r="AY196" s="4">
        <v>723796</v>
      </c>
      <c r="AZ196" s="4">
        <v>7399231</v>
      </c>
      <c r="BA196" s="4">
        <v>2762329</v>
      </c>
      <c r="BB196" s="4">
        <v>10161560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57B264ED57A47C4391C796EB6E396DD3" ma:contentTypeVersion="5" ma:contentTypeDescription="Buat sebuah dokumen baru." ma:contentTypeScope="" ma:versionID="93cfeb5d804f01b4a20760fd332dffc5">
  <xsd:schema xmlns:xsd="http://www.w3.org/2001/XMLSchema" xmlns:xs="http://www.w3.org/2001/XMLSchema" xmlns:p="http://schemas.microsoft.com/office/2006/metadata/properties" xmlns:ns3="5c9f2b91-0a7c-40d9-8706-7341c2e00200" targetNamespace="http://schemas.microsoft.com/office/2006/metadata/properties" ma:root="true" ma:fieldsID="1ee52ca5fb18d63f5bbd0bf7630bfdd4" ns3:_="">
    <xsd:import namespace="5c9f2b91-0a7c-40d9-8706-7341c2e002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f2b91-0a7c-40d9-8706-7341c2e002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8B3E8F-364E-4436-958F-C07F19A05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595C5-8DAE-447A-9DA1-1CE0CA9697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9f2b91-0a7c-40d9-8706-7341c2e002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3ACFF8-B148-44A4-95BC-C78A0075015D}">
  <ds:schemaRefs>
    <ds:schemaRef ds:uri="5c9f2b91-0a7c-40d9-8706-7341c2e00200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data_gabungan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Sahda Huwaidah Estiningtyas</dc:creator>
  <cp:lastModifiedBy>Sahda Huwaidah Estiningtyas</cp:lastModifiedBy>
  <dcterms:created xsi:type="dcterms:W3CDTF">2026-05-10T07:06:06Z</dcterms:created>
  <dcterms:modified xsi:type="dcterms:W3CDTF">2026-05-13T20:34:33Z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0x01010057B264ED57A47C4391C796EB6E396DD3</vt:lpwstr>
  </property>
</Properties>
</file>